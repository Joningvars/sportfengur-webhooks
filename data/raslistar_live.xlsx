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/>
  <xr:revisionPtr revIDLastSave="0" documentId="13_ncr:1_{6A3EF90D-C9B3-47F3-8CAC-5DC3B9EB5F2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rkeppni" sheetId="1" r:id="rId1"/>
    <sheet name="ForkeppniSorted" sheetId="4" r:id="rId2"/>
    <sheet name="B-úrslit" sheetId="2" r:id="rId3"/>
    <sheet name="B-úrslitSorted" sheetId="5" r:id="rId4"/>
    <sheet name="A-úrslit" sheetId="3" r:id="rId5"/>
    <sheet name="A-úrslitSorted" sheetId="6" r:id="rId6"/>
    <sheet name="Webhooks" sheetId="10" r:id="rId7"/>
    <sheet name="C úrslit" sheetId="7" r:id="rId8"/>
    <sheet name="keppendalisti" sheetId="8" r:id="rId9"/>
    <sheet name="keppnisgreinar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I2" i="6" l="1"/>
  <c r="CH2" i="6"/>
  <c r="CB2" i="6"/>
  <c r="CA2" i="6"/>
  <c r="BU2" i="6"/>
  <c r="BT2" i="6"/>
  <c r="BK6" i="3"/>
  <c r="BE6" i="3"/>
  <c r="AY6" i="3"/>
  <c r="AS6" i="3"/>
  <c r="AM6" i="3"/>
  <c r="AG6" i="3"/>
  <c r="AA6" i="3"/>
  <c r="O6" i="3" a="1"/>
  <c r="O6" i="3" s="1"/>
  <c r="N6" i="3" a="1"/>
  <c r="N6" i="3" s="1"/>
  <c r="BK5" i="3"/>
  <c r="BE5" i="3"/>
  <c r="AY5" i="3"/>
  <c r="AS5" i="3"/>
  <c r="AM5" i="3"/>
  <c r="AG5" i="3"/>
  <c r="AA5" i="3"/>
  <c r="O5" i="3" a="1"/>
  <c r="O5" i="3" s="1"/>
  <c r="N5" i="3" a="1"/>
  <c r="N5" i="3" s="1"/>
  <c r="BK4" i="3"/>
  <c r="BE4" i="3"/>
  <c r="AY4" i="3"/>
  <c r="AS4" i="3"/>
  <c r="AM4" i="3"/>
  <c r="AG4" i="3"/>
  <c r="AA4" i="3"/>
  <c r="O4" i="3" a="1"/>
  <c r="O4" i="3"/>
  <c r="N4" i="3" a="1"/>
  <c r="N4" i="3"/>
  <c r="BK3" i="3"/>
  <c r="BE3" i="3"/>
  <c r="AY3" i="3"/>
  <c r="AS3" i="3"/>
  <c r="AM3" i="3"/>
  <c r="AG3" i="3"/>
  <c r="AA3" i="3"/>
  <c r="O3" i="3" a="1"/>
  <c r="O3" i="3" s="1"/>
  <c r="N3" i="3" a="1"/>
  <c r="N3" i="3"/>
  <c r="CI2" i="3"/>
  <c r="CH2" i="3"/>
  <c r="CG2" i="3"/>
  <c r="CF2" i="3"/>
  <c r="CE2" i="3"/>
  <c r="CD2" i="3"/>
  <c r="CC2" i="3"/>
  <c r="CB2" i="3"/>
  <c r="CA2" i="3"/>
  <c r="BZ2" i="3"/>
  <c r="BY2" i="3"/>
  <c r="BX2" i="3"/>
  <c r="BW2" i="3"/>
  <c r="BV2" i="3"/>
  <c r="BU2" i="3"/>
  <c r="BT2" i="3"/>
  <c r="BS2" i="3"/>
  <c r="BR2" i="3"/>
  <c r="BQ2" i="3"/>
  <c r="BP2" i="3"/>
  <c r="BO2" i="3"/>
  <c r="BK2" i="3"/>
  <c r="BE2" i="3"/>
  <c r="AY2" i="3"/>
  <c r="AS2" i="3"/>
  <c r="AM2" i="3"/>
  <c r="AG2" i="3"/>
  <c r="AA2" i="3"/>
  <c r="O2" i="3" a="1"/>
  <c r="O2" i="3"/>
  <c r="N2" i="3" a="1"/>
  <c r="N2" i="3" s="1"/>
  <c r="BK8" i="2"/>
  <c r="BE8" i="2"/>
  <c r="AY8" i="2"/>
  <c r="AS8" i="2"/>
  <c r="AM8" i="2"/>
  <c r="AG8" i="2"/>
  <c r="AA8" i="2"/>
  <c r="BK7" i="2"/>
  <c r="BE7" i="2"/>
  <c r="AY7" i="2"/>
  <c r="AS7" i="2"/>
  <c r="AM7" i="2"/>
  <c r="AG7" i="2"/>
  <c r="AA7" i="2"/>
  <c r="BK6" i="2"/>
  <c r="BE6" i="2"/>
  <c r="AY6" i="2"/>
  <c r="AS6" i="2"/>
  <c r="AM6" i="2"/>
  <c r="AG6" i="2"/>
  <c r="AA6" i="2"/>
  <c r="O6" i="2" a="1"/>
  <c r="O6" i="2" s="1"/>
  <c r="N6" i="2" a="1"/>
  <c r="N6" i="2" s="1"/>
  <c r="BK5" i="2"/>
  <c r="BE5" i="2"/>
  <c r="AY5" i="2"/>
  <c r="AS5" i="2"/>
  <c r="AM5" i="2"/>
  <c r="AG5" i="2"/>
  <c r="AA5" i="2"/>
  <c r="O5" i="2" a="1"/>
  <c r="O5" i="2"/>
  <c r="N5" i="2" a="1"/>
  <c r="N5" i="2"/>
  <c r="BK4" i="2"/>
  <c r="BE4" i="2"/>
  <c r="AY4" i="2"/>
  <c r="AS4" i="2"/>
  <c r="AM4" i="2"/>
  <c r="AG4" i="2"/>
  <c r="AA4" i="2"/>
  <c r="O4" i="2" a="1"/>
  <c r="O4" i="2" s="1"/>
  <c r="N4" i="2" a="1"/>
  <c r="N4" i="2"/>
  <c r="BK3" i="2"/>
  <c r="BE3" i="2"/>
  <c r="AY3" i="2"/>
  <c r="AS3" i="2"/>
  <c r="AM3" i="2"/>
  <c r="AG3" i="2"/>
  <c r="AA3" i="2"/>
  <c r="O3" i="2" a="1"/>
  <c r="O3" i="2"/>
  <c r="N3" i="2" a="1"/>
  <c r="N3" i="2"/>
  <c r="CX2" i="2"/>
  <c r="CW2" i="2"/>
  <c r="CV2" i="2"/>
  <c r="CU2" i="2"/>
  <c r="CT2" i="2"/>
  <c r="CS2" i="2"/>
  <c r="CR2" i="2"/>
  <c r="CI2" i="2"/>
  <c r="CH2" i="2"/>
  <c r="CG2" i="2"/>
  <c r="CF2" i="2"/>
  <c r="CE2" i="2"/>
  <c r="CD2" i="2"/>
  <c r="CC2" i="2"/>
  <c r="CB2" i="2"/>
  <c r="CA2" i="2"/>
  <c r="BZ2" i="2"/>
  <c r="BY2" i="2"/>
  <c r="BX2" i="2"/>
  <c r="BW2" i="2"/>
  <c r="BV2" i="2"/>
  <c r="BU2" i="2"/>
  <c r="BT2" i="2"/>
  <c r="BS2" i="2"/>
  <c r="BR2" i="2"/>
  <c r="BQ2" i="2"/>
  <c r="BP2" i="2"/>
  <c r="BO2" i="2"/>
  <c r="BK2" i="2"/>
  <c r="BE2" i="2"/>
  <c r="AY2" i="2"/>
  <c r="AS2" i="2"/>
  <c r="AM2" i="2"/>
  <c r="AG2" i="2"/>
  <c r="AA2" i="2"/>
  <c r="O2" i="2" a="1"/>
  <c r="O2" i="2" s="1"/>
  <c r="N2" i="2" a="1"/>
  <c r="N2" i="2" s="1"/>
  <c r="F40" i="4"/>
  <c r="E40" i="4"/>
  <c r="D40" i="4"/>
  <c r="A40" i="4"/>
  <c r="T39" i="4"/>
  <c r="R38" i="4"/>
  <c r="F38" i="4"/>
  <c r="E38" i="4"/>
  <c r="D38" i="4"/>
  <c r="C38" i="4"/>
  <c r="S36" i="4"/>
  <c r="O36" i="4"/>
  <c r="N36" i="4"/>
  <c r="M36" i="4"/>
  <c r="L36" i="4"/>
  <c r="I35" i="4"/>
  <c r="T34" i="4"/>
  <c r="S34" i="4"/>
  <c r="O34" i="4"/>
  <c r="N34" i="4"/>
  <c r="M34" i="4"/>
  <c r="M33" i="4"/>
  <c r="L33" i="4"/>
  <c r="K33" i="4"/>
  <c r="D33" i="4"/>
  <c r="C33" i="4"/>
  <c r="Q32" i="4"/>
  <c r="N31" i="4"/>
  <c r="J31" i="4"/>
  <c r="I31" i="4"/>
  <c r="G31" i="4"/>
  <c r="F31" i="4"/>
  <c r="E31" i="4"/>
  <c r="C30" i="4"/>
  <c r="B30" i="4"/>
  <c r="A30" i="4"/>
  <c r="S29" i="4"/>
  <c r="H29" i="4"/>
  <c r="G29" i="4"/>
  <c r="F28" i="4"/>
  <c r="E28" i="4"/>
  <c r="S27" i="4"/>
  <c r="Q27" i="4"/>
  <c r="P27" i="4"/>
  <c r="O27" i="4"/>
  <c r="O26" i="4"/>
  <c r="N26" i="4"/>
  <c r="M26" i="4"/>
  <c r="B26" i="4"/>
  <c r="A26" i="4"/>
  <c r="T25" i="4"/>
  <c r="S24" i="4"/>
  <c r="R24" i="4"/>
  <c r="Q24" i="4"/>
  <c r="M24" i="4"/>
  <c r="L24" i="4"/>
  <c r="K24" i="4"/>
  <c r="J23" i="4"/>
  <c r="I23" i="4"/>
  <c r="R22" i="4"/>
  <c r="Q22" i="4"/>
  <c r="P22" i="4"/>
  <c r="O22" i="4"/>
  <c r="P21" i="4"/>
  <c r="O21" i="4"/>
  <c r="L21" i="4"/>
  <c r="K21" i="4"/>
  <c r="G21" i="4"/>
  <c r="F21" i="4"/>
  <c r="G20" i="4"/>
  <c r="S19" i="4"/>
  <c r="AF4" i="4" s="1"/>
  <c r="O19" i="4"/>
  <c r="N19" i="4"/>
  <c r="M19" i="4"/>
  <c r="J19" i="4"/>
  <c r="K18" i="4"/>
  <c r="J18" i="4"/>
  <c r="I18" i="4"/>
  <c r="H18" i="4"/>
  <c r="G18" i="4"/>
  <c r="P17" i="4"/>
  <c r="Q16" i="4"/>
  <c r="N16" i="4"/>
  <c r="M16" i="4"/>
  <c r="I16" i="4"/>
  <c r="H16" i="4"/>
  <c r="G16" i="4"/>
  <c r="F15" i="4"/>
  <c r="E15" i="4"/>
  <c r="D15" i="4"/>
  <c r="C15" i="4"/>
  <c r="L14" i="4"/>
  <c r="K14" i="4"/>
  <c r="L13" i="4"/>
  <c r="K13" i="4"/>
  <c r="J13" i="4"/>
  <c r="I13" i="4"/>
  <c r="C13" i="4"/>
  <c r="B13" i="4"/>
  <c r="C12" i="4"/>
  <c r="B12" i="4"/>
  <c r="A12" i="4"/>
  <c r="J11" i="4"/>
  <c r="I11" i="4"/>
  <c r="H11" i="4"/>
  <c r="G10" i="4"/>
  <c r="F10" i="4"/>
  <c r="E10" i="4"/>
  <c r="D10" i="4"/>
  <c r="C10" i="4"/>
  <c r="S9" i="4"/>
  <c r="AC3" i="4" s="1"/>
  <c r="R8" i="4"/>
  <c r="Q8" i="4"/>
  <c r="K8" i="4"/>
  <c r="E8" i="4"/>
  <c r="D8" i="4"/>
  <c r="C8" i="4"/>
  <c r="D7" i="4"/>
  <c r="C7" i="4"/>
  <c r="B7" i="4"/>
  <c r="A7" i="4"/>
  <c r="R6" i="4"/>
  <c r="Q6" i="4"/>
  <c r="O5" i="4"/>
  <c r="I5" i="4"/>
  <c r="H5" i="4"/>
  <c r="G5" i="4"/>
  <c r="C5" i="4"/>
  <c r="B5" i="4"/>
  <c r="E4" i="4"/>
  <c r="AL2" i="4" s="1"/>
  <c r="D4" i="4"/>
  <c r="C4" i="4"/>
  <c r="B4" i="4"/>
  <c r="A4" i="4"/>
  <c r="L3" i="4"/>
  <c r="O2" i="4"/>
  <c r="N2" i="4"/>
  <c r="M2" i="4"/>
  <c r="L2" i="4"/>
  <c r="K2" i="4"/>
  <c r="G2" i="4"/>
  <c r="A2" i="4" a="1"/>
  <c r="S39" i="4" s="1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A1" i="4"/>
  <c r="BD4" i="1"/>
  <c r="BC4" i="1"/>
  <c r="BB4" i="1"/>
  <c r="BA4" i="1"/>
  <c r="AZ4" i="1"/>
  <c r="AY4" i="1"/>
  <c r="AX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BD3" i="1"/>
  <c r="BC3" i="1"/>
  <c r="BB3" i="1"/>
  <c r="BA3" i="1"/>
  <c r="AZ3" i="1"/>
  <c r="AY3" i="1"/>
  <c r="AX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BD2" i="1"/>
  <c r="BC2" i="1"/>
  <c r="BB2" i="1"/>
  <c r="BA2" i="1"/>
  <c r="AZ2" i="1"/>
  <c r="AY2" i="1"/>
  <c r="AX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S38" i="4" l="1"/>
  <c r="A3" i="4"/>
  <c r="F4" i="4"/>
  <c r="P5" i="4"/>
  <c r="E7" i="4"/>
  <c r="S8" i="4"/>
  <c r="AI2" i="4" s="1"/>
  <c r="H10" i="4"/>
  <c r="D12" i="4"/>
  <c r="M13" i="4"/>
  <c r="I15" i="4"/>
  <c r="C17" i="4"/>
  <c r="L18" i="4"/>
  <c r="H20" i="4"/>
  <c r="Q21" i="4"/>
  <c r="K23" i="4"/>
  <c r="T24" i="4"/>
  <c r="P26" i="4"/>
  <c r="G28" i="4"/>
  <c r="D30" i="4"/>
  <c r="C32" i="4"/>
  <c r="J35" i="4"/>
  <c r="D37" i="4"/>
  <c r="T38" i="4"/>
  <c r="L40" i="4"/>
  <c r="Q5" i="4"/>
  <c r="K10" i="4"/>
  <c r="J15" i="4"/>
  <c r="M18" i="4"/>
  <c r="I20" i="4"/>
  <c r="R21" i="4"/>
  <c r="N28" i="4"/>
  <c r="E30" i="4"/>
  <c r="D32" i="4"/>
  <c r="O33" i="4"/>
  <c r="N35" i="4"/>
  <c r="A39" i="4"/>
  <c r="M40" i="4"/>
  <c r="F3" i="4"/>
  <c r="H4" i="4"/>
  <c r="A6" i="4"/>
  <c r="G7" i="4"/>
  <c r="C9" i="4"/>
  <c r="T10" i="4"/>
  <c r="F12" i="4"/>
  <c r="E14" i="4"/>
  <c r="K15" i="4"/>
  <c r="E17" i="4"/>
  <c r="W4" i="4" s="1"/>
  <c r="N18" i="4"/>
  <c r="J20" i="4"/>
  <c r="S21" i="4"/>
  <c r="AH4" i="4" s="1"/>
  <c r="M23" i="4"/>
  <c r="I25" i="4"/>
  <c r="R26" i="4"/>
  <c r="O28" i="4"/>
  <c r="H30" i="4"/>
  <c r="E32" i="4"/>
  <c r="P33" i="4"/>
  <c r="O35" i="4"/>
  <c r="F37" i="4"/>
  <c r="C39" i="4"/>
  <c r="G3" i="4"/>
  <c r="I4" i="4"/>
  <c r="B6" i="4"/>
  <c r="R7" i="4"/>
  <c r="G9" i="4"/>
  <c r="A11" i="4"/>
  <c r="G12" i="4"/>
  <c r="F14" i="4"/>
  <c r="L15" i="4"/>
  <c r="K17" i="4"/>
  <c r="O18" i="4"/>
  <c r="K20" i="4"/>
  <c r="J22" i="4"/>
  <c r="N23" i="4"/>
  <c r="M25" i="4"/>
  <c r="S26" i="4"/>
  <c r="R28" i="4"/>
  <c r="I30" i="4"/>
  <c r="F32" i="4"/>
  <c r="Q33" i="4"/>
  <c r="P35" i="4"/>
  <c r="L37" i="4"/>
  <c r="D39" i="4"/>
  <c r="N33" i="4"/>
  <c r="E3" i="4"/>
  <c r="AK2" i="4" s="1"/>
  <c r="Q26" i="4"/>
  <c r="H3" i="4"/>
  <c r="C6" i="4"/>
  <c r="B11" i="4"/>
  <c r="M12" i="4"/>
  <c r="G14" i="4"/>
  <c r="M15" i="4"/>
  <c r="F19" i="4"/>
  <c r="O20" i="4"/>
  <c r="K22" i="4"/>
  <c r="Q23" i="4"/>
  <c r="N25" i="4"/>
  <c r="T26" i="4"/>
  <c r="B29" i="4"/>
  <c r="J30" i="4"/>
  <c r="G32" i="4"/>
  <c r="I34" i="4"/>
  <c r="Q35" i="4"/>
  <c r="S37" i="4"/>
  <c r="E39" i="4"/>
  <c r="R4" i="4"/>
  <c r="L17" i="4"/>
  <c r="D2" i="4"/>
  <c r="I3" i="4"/>
  <c r="S4" i="4"/>
  <c r="AE2" i="4" s="1"/>
  <c r="D6" i="4"/>
  <c r="T7" i="4"/>
  <c r="I9" i="4"/>
  <c r="E11" i="4"/>
  <c r="N12" i="4"/>
  <c r="H14" i="4"/>
  <c r="D16" i="4"/>
  <c r="M17" i="4"/>
  <c r="G19" i="4"/>
  <c r="P20" i="4"/>
  <c r="L22" i="4"/>
  <c r="A24" i="4"/>
  <c r="O25" i="4"/>
  <c r="A27" i="4"/>
  <c r="C29" i="4"/>
  <c r="T30" i="4"/>
  <c r="M32" i="4"/>
  <c r="J34" i="4"/>
  <c r="R35" i="4"/>
  <c r="T37" i="4"/>
  <c r="F39" i="4"/>
  <c r="K40" i="4"/>
  <c r="G4" i="4"/>
  <c r="T8" i="4"/>
  <c r="E12" i="4"/>
  <c r="A14" i="4"/>
  <c r="D17" i="4"/>
  <c r="L23" i="4"/>
  <c r="E37" i="4"/>
  <c r="S7" i="4"/>
  <c r="AH2" i="4" s="1"/>
  <c r="E2" i="4"/>
  <c r="J3" i="4"/>
  <c r="T4" i="4"/>
  <c r="G6" i="4"/>
  <c r="A8" i="4"/>
  <c r="J9" i="4"/>
  <c r="F11" i="4"/>
  <c r="T12" i="4"/>
  <c r="I14" i="4"/>
  <c r="E16" i="4"/>
  <c r="AJ4" i="4" s="1"/>
  <c r="N17" i="4"/>
  <c r="H19" i="4"/>
  <c r="Q20" i="4"/>
  <c r="M22" i="4"/>
  <c r="B24" i="4"/>
  <c r="P25" i="4"/>
  <c r="M27" i="4"/>
  <c r="D29" i="4"/>
  <c r="C31" i="4"/>
  <c r="N32" i="4"/>
  <c r="K34" i="4"/>
  <c r="B36" i="4"/>
  <c r="A38" i="4"/>
  <c r="I39" i="4"/>
  <c r="A37" i="4"/>
  <c r="F7" i="4"/>
  <c r="A25" i="4"/>
  <c r="H9" i="4"/>
  <c r="F2" i="4"/>
  <c r="K3" i="4"/>
  <c r="A5" i="4"/>
  <c r="H6" i="4"/>
  <c r="B8" i="4"/>
  <c r="R9" i="4"/>
  <c r="G11" i="4"/>
  <c r="A13" i="4"/>
  <c r="J14" i="4"/>
  <c r="F16" i="4"/>
  <c r="O17" i="4"/>
  <c r="I19" i="4"/>
  <c r="R20" i="4"/>
  <c r="N22" i="4"/>
  <c r="H24" i="4"/>
  <c r="S25" i="4"/>
  <c r="N27" i="4"/>
  <c r="E29" i="4"/>
  <c r="D31" i="4"/>
  <c r="O32" i="4"/>
  <c r="L34" i="4"/>
  <c r="C36" i="4"/>
  <c r="B38" i="4"/>
  <c r="W3" i="4"/>
  <c r="AK3" i="4"/>
  <c r="AA3" i="4"/>
  <c r="AO3" i="4"/>
  <c r="AB2" i="4"/>
  <c r="AP2" i="4"/>
  <c r="A2" i="6" a="1"/>
  <c r="AK4" i="4"/>
  <c r="W2" i="4"/>
  <c r="X3" i="4"/>
  <c r="AL3" i="4"/>
  <c r="AB3" i="4"/>
  <c r="AP3" i="4"/>
  <c r="AA2" i="4"/>
  <c r="AO2" i="4"/>
  <c r="A2" i="5" a="1"/>
  <c r="X2" i="4"/>
  <c r="J40" i="4"/>
  <c r="P39" i="4"/>
  <c r="B39" i="4"/>
  <c r="H38" i="4"/>
  <c r="N37" i="4"/>
  <c r="T36" i="4"/>
  <c r="F36" i="4"/>
  <c r="L35" i="4"/>
  <c r="R34" i="4"/>
  <c r="D34" i="4"/>
  <c r="J33" i="4"/>
  <c r="P32" i="4"/>
  <c r="B32" i="4"/>
  <c r="H31" i="4"/>
  <c r="N30" i="4"/>
  <c r="T29" i="4"/>
  <c r="F29" i="4"/>
  <c r="L28" i="4"/>
  <c r="R27" i="4"/>
  <c r="D27" i="4"/>
  <c r="R40" i="4"/>
  <c r="C40" i="4"/>
  <c r="H39" i="4"/>
  <c r="M38" i="4"/>
  <c r="R37" i="4"/>
  <c r="C37" i="4"/>
  <c r="H36" i="4"/>
  <c r="M35" i="4"/>
  <c r="Q34" i="4"/>
  <c r="B34" i="4"/>
  <c r="G33" i="4"/>
  <c r="L32" i="4"/>
  <c r="Q31" i="4"/>
  <c r="B31" i="4"/>
  <c r="G30" i="4"/>
  <c r="L29" i="4"/>
  <c r="Q28" i="4"/>
  <c r="B28" i="4"/>
  <c r="G27" i="4"/>
  <c r="L26" i="4"/>
  <c r="R25" i="4"/>
  <c r="D25" i="4"/>
  <c r="J24" i="4"/>
  <c r="P23" i="4"/>
  <c r="B23" i="4"/>
  <c r="H22" i="4"/>
  <c r="N21" i="4"/>
  <c r="T20" i="4"/>
  <c r="F20" i="4"/>
  <c r="L19" i="4"/>
  <c r="R18" i="4"/>
  <c r="D18" i="4"/>
  <c r="J17" i="4"/>
  <c r="P16" i="4"/>
  <c r="B16" i="4"/>
  <c r="H15" i="4"/>
  <c r="N14" i="4"/>
  <c r="T13" i="4"/>
  <c r="F13" i="4"/>
  <c r="L12" i="4"/>
  <c r="R11" i="4"/>
  <c r="D11" i="4"/>
  <c r="J10" i="4"/>
  <c r="P9" i="4"/>
  <c r="B9" i="4"/>
  <c r="H8" i="4"/>
  <c r="N7" i="4"/>
  <c r="T6" i="4"/>
  <c r="F6" i="4"/>
  <c r="Q40" i="4"/>
  <c r="B40" i="4"/>
  <c r="G39" i="4"/>
  <c r="L38" i="4"/>
  <c r="Q37" i="4"/>
  <c r="B37" i="4"/>
  <c r="G36" i="4"/>
  <c r="K35" i="4"/>
  <c r="P34" i="4"/>
  <c r="A34" i="4"/>
  <c r="F33" i="4"/>
  <c r="K32" i="4"/>
  <c r="P31" i="4"/>
  <c r="A31" i="4"/>
  <c r="F30" i="4"/>
  <c r="K29" i="4"/>
  <c r="P28" i="4"/>
  <c r="A28" i="4"/>
  <c r="F27" i="4"/>
  <c r="K26" i="4"/>
  <c r="Q25" i="4"/>
  <c r="C25" i="4"/>
  <c r="I24" i="4"/>
  <c r="O23" i="4"/>
  <c r="A23" i="4"/>
  <c r="G22" i="4"/>
  <c r="M21" i="4"/>
  <c r="S20" i="4"/>
  <c r="AG4" i="4" s="1"/>
  <c r="E20" i="4"/>
  <c r="K19" i="4"/>
  <c r="Q18" i="4"/>
  <c r="C18" i="4"/>
  <c r="I17" i="4"/>
  <c r="O16" i="4"/>
  <c r="A16" i="4"/>
  <c r="G15" i="4"/>
  <c r="M14" i="4"/>
  <c r="S13" i="4"/>
  <c r="AG3" i="4" s="1"/>
  <c r="E13" i="4"/>
  <c r="K12" i="4"/>
  <c r="Q11" i="4"/>
  <c r="C11" i="4"/>
  <c r="I10" i="4"/>
  <c r="O9" i="4"/>
  <c r="A9" i="4"/>
  <c r="G8" i="4"/>
  <c r="M7" i="4"/>
  <c r="S6" i="4"/>
  <c r="AG2" i="4" s="1"/>
  <c r="E6" i="4"/>
  <c r="I40" i="4"/>
  <c r="L39" i="4"/>
  <c r="O38" i="4"/>
  <c r="P37" i="4"/>
  <c r="R36" i="4"/>
  <c r="A36" i="4"/>
  <c r="D35" i="4"/>
  <c r="G34" i="4"/>
  <c r="I33" i="4"/>
  <c r="J32" i="4"/>
  <c r="M31" i="4"/>
  <c r="P30" i="4"/>
  <c r="R29" i="4"/>
  <c r="A29" i="4"/>
  <c r="D28" i="4"/>
  <c r="E27" i="4"/>
  <c r="H26" i="4"/>
  <c r="L25" i="4"/>
  <c r="P24" i="4"/>
  <c r="T23" i="4"/>
  <c r="D23" i="4"/>
  <c r="F22" i="4"/>
  <c r="J21" i="4"/>
  <c r="N20" i="4"/>
  <c r="R19" i="4"/>
  <c r="B19" i="4"/>
  <c r="F18" i="4"/>
  <c r="H17" i="4"/>
  <c r="L16" i="4"/>
  <c r="P15" i="4"/>
  <c r="T14" i="4"/>
  <c r="D14" i="4"/>
  <c r="H13" i="4"/>
  <c r="J12" i="4"/>
  <c r="N11" i="4"/>
  <c r="R10" i="4"/>
  <c r="B10" i="4"/>
  <c r="F9" i="4"/>
  <c r="J8" i="4"/>
  <c r="L7" i="4"/>
  <c r="P6" i="4"/>
  <c r="T5" i="4"/>
  <c r="F5" i="4"/>
  <c r="L4" i="4"/>
  <c r="R3" i="4"/>
  <c r="D3" i="4"/>
  <c r="J2" i="4"/>
  <c r="H40" i="4"/>
  <c r="K39" i="4"/>
  <c r="N38" i="4"/>
  <c r="O37" i="4"/>
  <c r="Q36" i="4"/>
  <c r="T35" i="4"/>
  <c r="C35" i="4"/>
  <c r="F34" i="4"/>
  <c r="H33" i="4"/>
  <c r="I32" i="4"/>
  <c r="L31" i="4"/>
  <c r="O30" i="4"/>
  <c r="Q29" i="4"/>
  <c r="T28" i="4"/>
  <c r="C28" i="4"/>
  <c r="C27" i="4"/>
  <c r="G26" i="4"/>
  <c r="K25" i="4"/>
  <c r="O24" i="4"/>
  <c r="S23" i="4"/>
  <c r="C23" i="4"/>
  <c r="E22" i="4"/>
  <c r="I21" i="4"/>
  <c r="M20" i="4"/>
  <c r="Q19" i="4"/>
  <c r="A19" i="4"/>
  <c r="E18" i="4"/>
  <c r="G17" i="4"/>
  <c r="K16" i="4"/>
  <c r="O15" i="4"/>
  <c r="S14" i="4"/>
  <c r="AH3" i="4" s="1"/>
  <c r="C14" i="4"/>
  <c r="G13" i="4"/>
  <c r="I12" i="4"/>
  <c r="M11" i="4"/>
  <c r="Q10" i="4"/>
  <c r="A10" i="4"/>
  <c r="E9" i="4"/>
  <c r="I8" i="4"/>
  <c r="K7" i="4"/>
  <c r="O6" i="4"/>
  <c r="S5" i="4"/>
  <c r="AF2" i="4" s="1"/>
  <c r="E5" i="4"/>
  <c r="K4" i="4"/>
  <c r="Q3" i="4"/>
  <c r="C3" i="4"/>
  <c r="I2" i="4"/>
  <c r="G40" i="4"/>
  <c r="J39" i="4"/>
  <c r="K38" i="4"/>
  <c r="M37" i="4"/>
  <c r="P36" i="4"/>
  <c r="S35" i="4"/>
  <c r="B35" i="4"/>
  <c r="E34" i="4"/>
  <c r="E33" i="4"/>
  <c r="H32" i="4"/>
  <c r="K31" i="4"/>
  <c r="M30" i="4"/>
  <c r="P29" i="4"/>
  <c r="S28" i="4"/>
  <c r="T27" i="4"/>
  <c r="B27" i="4"/>
  <c r="F26" i="4"/>
  <c r="J25" i="4"/>
  <c r="N24" i="4"/>
  <c r="R23" i="4"/>
  <c r="T22" i="4"/>
  <c r="D22" i="4"/>
  <c r="H21" i="4"/>
  <c r="L20" i="4"/>
  <c r="P19" i="4"/>
  <c r="T18" i="4"/>
  <c r="B18" i="4"/>
  <c r="F17" i="4"/>
  <c r="J16" i="4"/>
  <c r="N15" i="4"/>
  <c r="R14" i="4"/>
  <c r="B14" i="4"/>
  <c r="D13" i="4"/>
  <c r="H12" i="4"/>
  <c r="L11" i="4"/>
  <c r="P10" i="4"/>
  <c r="T9" i="4"/>
  <c r="D9" i="4"/>
  <c r="F8" i="4"/>
  <c r="J7" i="4"/>
  <c r="N6" i="4"/>
  <c r="R5" i="4"/>
  <c r="D5" i="4"/>
  <c r="J4" i="4"/>
  <c r="P3" i="4"/>
  <c r="B3" i="4"/>
  <c r="H2" i="4"/>
  <c r="O3" i="4"/>
  <c r="O4" i="4"/>
  <c r="L5" i="4"/>
  <c r="K6" i="4"/>
  <c r="O7" i="4"/>
  <c r="N8" i="4"/>
  <c r="M9" i="4"/>
  <c r="N10" i="4"/>
  <c r="P11" i="4"/>
  <c r="Q12" i="4"/>
  <c r="P13" i="4"/>
  <c r="Q14" i="4"/>
  <c r="S15" i="4"/>
  <c r="AI3" i="4" s="1"/>
  <c r="T16" i="4"/>
  <c r="S17" i="4"/>
  <c r="AD4" i="4" s="1"/>
  <c r="C19" i="4"/>
  <c r="B20" i="4"/>
  <c r="C21" i="4"/>
  <c r="B22" i="4"/>
  <c r="F23" i="4"/>
  <c r="E24" i="4"/>
  <c r="F25" i="4"/>
  <c r="E26" i="4"/>
  <c r="J27" i="4"/>
  <c r="J28" i="4"/>
  <c r="M29" i="4"/>
  <c r="Q30" i="4"/>
  <c r="S31" i="4"/>
  <c r="T32" i="4"/>
  <c r="T33" i="4"/>
  <c r="F35" i="4"/>
  <c r="I36" i="4"/>
  <c r="I37" i="4"/>
  <c r="J38" i="4"/>
  <c r="O39" i="4"/>
  <c r="P40" i="4"/>
  <c r="P2" i="4"/>
  <c r="M3" i="4"/>
  <c r="M4" i="4"/>
  <c r="J5" i="4"/>
  <c r="I6" i="4"/>
  <c r="H7" i="4"/>
  <c r="L8" i="4"/>
  <c r="K9" i="4"/>
  <c r="L10" i="4"/>
  <c r="K11" i="4"/>
  <c r="O12" i="4"/>
  <c r="N13" i="4"/>
  <c r="O14" i="4"/>
  <c r="Q15" i="4"/>
  <c r="R16" i="4"/>
  <c r="Q17" i="4"/>
  <c r="P18" i="4"/>
  <c r="T19" i="4"/>
  <c r="A21" i="4"/>
  <c r="T21" i="4"/>
  <c r="S22" i="4"/>
  <c r="AI4" i="4" s="1"/>
  <c r="C24" i="4"/>
  <c r="B25" i="4"/>
  <c r="C26" i="4"/>
  <c r="H27" i="4"/>
  <c r="H28" i="4"/>
  <c r="I29" i="4"/>
  <c r="K30" i="4"/>
  <c r="O31" i="4"/>
  <c r="R32" i="4"/>
  <c r="R33" i="4"/>
  <c r="A35" i="4"/>
  <c r="D36" i="4"/>
  <c r="G37" i="4"/>
  <c r="G38" i="4"/>
  <c r="M39" i="4"/>
  <c r="N40" i="4"/>
  <c r="A2" i="4"/>
  <c r="N3" i="4"/>
  <c r="K5" i="4"/>
  <c r="I7" i="4"/>
  <c r="L9" i="4"/>
  <c r="O11" i="4"/>
  <c r="O13" i="4"/>
  <c r="S16" i="4"/>
  <c r="AC4" i="4" s="1"/>
  <c r="S18" i="4"/>
  <c r="AE4" i="4" s="1"/>
  <c r="A20" i="4"/>
  <c r="A22" i="4"/>
  <c r="E23" i="4"/>
  <c r="E25" i="4"/>
  <c r="D26" i="4"/>
  <c r="I27" i="4"/>
  <c r="J29" i="4"/>
  <c r="L30" i="4"/>
  <c r="R31" i="4"/>
  <c r="S32" i="4"/>
  <c r="E35" i="4"/>
  <c r="E36" i="4"/>
  <c r="H37" i="4"/>
  <c r="I38" i="4"/>
  <c r="N39" i="4"/>
  <c r="O40" i="4"/>
  <c r="R2" i="4"/>
  <c r="B2" i="4"/>
  <c r="S2" i="4"/>
  <c r="AC2" i="4" s="1"/>
  <c r="S3" i="4"/>
  <c r="AD2" i="4" s="1"/>
  <c r="P4" i="4"/>
  <c r="M5" i="4"/>
  <c r="L6" i="4"/>
  <c r="P7" i="4"/>
  <c r="O8" i="4"/>
  <c r="N9" i="4"/>
  <c r="O10" i="4"/>
  <c r="S11" i="4"/>
  <c r="AE3" i="4" s="1"/>
  <c r="R12" i="4"/>
  <c r="Q13" i="4"/>
  <c r="A15" i="4"/>
  <c r="T15" i="4"/>
  <c r="A17" i="4"/>
  <c r="T17" i="4"/>
  <c r="D19" i="4"/>
  <c r="C20" i="4"/>
  <c r="D21" i="4"/>
  <c r="C22" i="4"/>
  <c r="G23" i="4"/>
  <c r="F24" i="4"/>
  <c r="G25" i="4"/>
  <c r="I26" i="4"/>
  <c r="K27" i="4"/>
  <c r="K28" i="4"/>
  <c r="N29" i="4"/>
  <c r="R30" i="4"/>
  <c r="T31" i="4"/>
  <c r="A33" i="4"/>
  <c r="C34" i="4"/>
  <c r="G35" i="4"/>
  <c r="J36" i="4"/>
  <c r="J37" i="4"/>
  <c r="P38" i="4"/>
  <c r="Q39" i="4"/>
  <c r="S40" i="4"/>
  <c r="Q2" i="4"/>
  <c r="N4" i="4"/>
  <c r="J6" i="4"/>
  <c r="M8" i="4"/>
  <c r="M10" i="4"/>
  <c r="P12" i="4"/>
  <c r="P14" i="4"/>
  <c r="R15" i="4"/>
  <c r="R17" i="4"/>
  <c r="B21" i="4"/>
  <c r="D24" i="4"/>
  <c r="I28" i="4"/>
  <c r="S33" i="4"/>
  <c r="C2" i="4"/>
  <c r="T2" i="4"/>
  <c r="T3" i="4"/>
  <c r="Q4" i="4"/>
  <c r="N5" i="4"/>
  <c r="M6" i="4"/>
  <c r="Q7" i="4"/>
  <c r="P8" i="4"/>
  <c r="Q9" i="4"/>
  <c r="S10" i="4"/>
  <c r="AD3" i="4" s="1"/>
  <c r="T11" i="4"/>
  <c r="S12" i="4"/>
  <c r="AF3" i="4" s="1"/>
  <c r="R13" i="4"/>
  <c r="B15" i="4"/>
  <c r="C16" i="4"/>
  <c r="B17" i="4"/>
  <c r="A18" i="4"/>
  <c r="E19" i="4"/>
  <c r="D20" i="4"/>
  <c r="E21" i="4"/>
  <c r="I22" i="4"/>
  <c r="H23" i="4"/>
  <c r="G24" i="4"/>
  <c r="H25" i="4"/>
  <c r="J26" i="4"/>
  <c r="L27" i="4"/>
  <c r="M28" i="4"/>
  <c r="O29" i="4"/>
  <c r="S30" i="4"/>
  <c r="A32" i="4"/>
  <c r="B33" i="4"/>
  <c r="H34" i="4"/>
  <c r="H35" i="4"/>
  <c r="K36" i="4"/>
  <c r="K37" i="4"/>
  <c r="Q38" i="4"/>
  <c r="R39" i="4"/>
  <c r="T40" i="4"/>
  <c r="AM3" i="4" l="1"/>
  <c r="Y3" i="4"/>
  <c r="V4" i="4"/>
  <c r="AJ2" i="4"/>
  <c r="V2" i="4"/>
  <c r="AM4" i="4"/>
  <c r="Y4" i="4"/>
  <c r="V3" i="4"/>
  <c r="AJ3" i="4"/>
  <c r="Z2" i="4"/>
  <c r="AN2" i="4"/>
  <c r="AP4" i="4"/>
  <c r="AB4" i="4"/>
  <c r="AM2" i="4"/>
  <c r="Y2" i="4"/>
  <c r="BG8" i="5"/>
  <c r="AS8" i="5"/>
  <c r="AE8" i="5"/>
  <c r="Q8" i="5"/>
  <c r="C8" i="5"/>
  <c r="BB7" i="5"/>
  <c r="AN7" i="5"/>
  <c r="Z7" i="5"/>
  <c r="L7" i="5"/>
  <c r="BK6" i="5"/>
  <c r="AW6" i="5"/>
  <c r="AI6" i="5"/>
  <c r="U6" i="5"/>
  <c r="BZ2" i="5" s="1"/>
  <c r="G6" i="5"/>
  <c r="BF5" i="5"/>
  <c r="AR5" i="5"/>
  <c r="AD5" i="5"/>
  <c r="P5" i="5"/>
  <c r="B5" i="5"/>
  <c r="BA4" i="5"/>
  <c r="AM4" i="5"/>
  <c r="Y4" i="5"/>
  <c r="K4" i="5"/>
  <c r="BJ3" i="5"/>
  <c r="AV3" i="5"/>
  <c r="AH3" i="5"/>
  <c r="T3" i="5"/>
  <c r="F3" i="5"/>
  <c r="BE2" i="5"/>
  <c r="AQ2" i="5"/>
  <c r="AC2" i="5"/>
  <c r="O2" i="5"/>
  <c r="BE8" i="5"/>
  <c r="AQ8" i="5"/>
  <c r="AC8" i="5"/>
  <c r="O8" i="5"/>
  <c r="A8" i="5"/>
  <c r="AZ7" i="5"/>
  <c r="AL7" i="5"/>
  <c r="X7" i="5"/>
  <c r="J7" i="5"/>
  <c r="BI6" i="5"/>
  <c r="AU6" i="5"/>
  <c r="AG6" i="5"/>
  <c r="S6" i="5"/>
  <c r="E6" i="5"/>
  <c r="BD5" i="5"/>
  <c r="AP5" i="5"/>
  <c r="AB5" i="5"/>
  <c r="N5" i="5"/>
  <c r="BM4" i="5"/>
  <c r="AY4" i="5"/>
  <c r="AK4" i="5"/>
  <c r="W4" i="5"/>
  <c r="I4" i="5"/>
  <c r="BH3" i="5"/>
  <c r="AT3" i="5"/>
  <c r="AF3" i="5"/>
  <c r="R3" i="5"/>
  <c r="D3" i="5"/>
  <c r="BC2" i="5"/>
  <c r="AO2" i="5"/>
  <c r="AA2" i="5"/>
  <c r="M2" i="5"/>
  <c r="BD8" i="5"/>
  <c r="AP8" i="5"/>
  <c r="AB8" i="5"/>
  <c r="N8" i="5"/>
  <c r="BM7" i="5"/>
  <c r="AY7" i="5"/>
  <c r="AK7" i="5"/>
  <c r="W7" i="5"/>
  <c r="I7" i="5"/>
  <c r="BH6" i="5"/>
  <c r="AT6" i="5"/>
  <c r="AF6" i="5"/>
  <c r="R6" i="5"/>
  <c r="D6" i="5"/>
  <c r="BC5" i="5"/>
  <c r="AO5" i="5"/>
  <c r="AA5" i="5"/>
  <c r="M5" i="5"/>
  <c r="BL4" i="5"/>
  <c r="AX4" i="5"/>
  <c r="AJ4" i="5"/>
  <c r="V4" i="5"/>
  <c r="H4" i="5"/>
  <c r="BG3" i="5"/>
  <c r="AS3" i="5"/>
  <c r="AE3" i="5"/>
  <c r="Q3" i="5"/>
  <c r="C3" i="5"/>
  <c r="BB2" i="5"/>
  <c r="AN2" i="5"/>
  <c r="Z2" i="5"/>
  <c r="L2" i="5"/>
  <c r="BC8" i="5"/>
  <c r="AO8" i="5"/>
  <c r="AA8" i="5"/>
  <c r="M8" i="5"/>
  <c r="BL7" i="5"/>
  <c r="AX7" i="5"/>
  <c r="AJ7" i="5"/>
  <c r="V7" i="5"/>
  <c r="H7" i="5"/>
  <c r="BG6" i="5"/>
  <c r="AS6" i="5"/>
  <c r="AE6" i="5"/>
  <c r="Q6" i="5"/>
  <c r="C6" i="5"/>
  <c r="BB5" i="5"/>
  <c r="AN5" i="5"/>
  <c r="Z5" i="5"/>
  <c r="L5" i="5"/>
  <c r="BK4" i="5"/>
  <c r="AW4" i="5"/>
  <c r="AI4" i="5"/>
  <c r="U4" i="5"/>
  <c r="BX2" i="5" s="1"/>
  <c r="G4" i="5"/>
  <c r="BF3" i="5"/>
  <c r="AR3" i="5"/>
  <c r="AD3" i="5"/>
  <c r="P3" i="5"/>
  <c r="B3" i="5"/>
  <c r="BA2" i="5"/>
  <c r="AM2" i="5"/>
  <c r="Y2" i="5"/>
  <c r="K2" i="5"/>
  <c r="BB8" i="5"/>
  <c r="AN8" i="5"/>
  <c r="Z8" i="5"/>
  <c r="L8" i="5"/>
  <c r="BK7" i="5"/>
  <c r="AW7" i="5"/>
  <c r="AI7" i="5"/>
  <c r="U7" i="5"/>
  <c r="CA2" i="5" s="1"/>
  <c r="G7" i="5"/>
  <c r="BF6" i="5"/>
  <c r="AR6" i="5"/>
  <c r="AD6" i="5"/>
  <c r="P6" i="5"/>
  <c r="B6" i="5"/>
  <c r="BA5" i="5"/>
  <c r="AM5" i="5"/>
  <c r="Y5" i="5"/>
  <c r="K5" i="5"/>
  <c r="BJ4" i="5"/>
  <c r="AV4" i="5"/>
  <c r="AH4" i="5"/>
  <c r="T4" i="5"/>
  <c r="F4" i="5"/>
  <c r="BE3" i="5"/>
  <c r="AQ3" i="5"/>
  <c r="AC3" i="5"/>
  <c r="O3" i="5"/>
  <c r="A3" i="5"/>
  <c r="AZ2" i="5"/>
  <c r="AL2" i="5"/>
  <c r="X2" i="5"/>
  <c r="J2" i="5"/>
  <c r="BJ8" i="5"/>
  <c r="AL8" i="5"/>
  <c r="S8" i="5"/>
  <c r="BH7" i="5"/>
  <c r="AO7" i="5"/>
  <c r="Q7" i="5"/>
  <c r="BJ6" i="5"/>
  <c r="AM6" i="5"/>
  <c r="O6" i="5"/>
  <c r="BI5" i="5"/>
  <c r="AK5" i="5"/>
  <c r="R5" i="5"/>
  <c r="BG4" i="5"/>
  <c r="AN4" i="5"/>
  <c r="P4" i="5"/>
  <c r="BI3" i="5"/>
  <c r="AL3" i="5"/>
  <c r="N3" i="5"/>
  <c r="BH2" i="5"/>
  <c r="AJ2" i="5"/>
  <c r="Q2" i="5"/>
  <c r="BI8" i="5"/>
  <c r="AK8" i="5"/>
  <c r="R8" i="5"/>
  <c r="BG7" i="5"/>
  <c r="AM7" i="5"/>
  <c r="P7" i="5"/>
  <c r="BE6" i="5"/>
  <c r="AL6" i="5"/>
  <c r="N6" i="5"/>
  <c r="BH5" i="5"/>
  <c r="AJ5" i="5"/>
  <c r="Q5" i="5"/>
  <c r="BF4" i="5"/>
  <c r="AL4" i="5"/>
  <c r="O4" i="5"/>
  <c r="BD3" i="5"/>
  <c r="AK3" i="5"/>
  <c r="M3" i="5"/>
  <c r="BG2" i="5"/>
  <c r="AI2" i="5"/>
  <c r="P2" i="5"/>
  <c r="BH8" i="5"/>
  <c r="AJ8" i="5"/>
  <c r="P8" i="5"/>
  <c r="BF7" i="5"/>
  <c r="AH7" i="5"/>
  <c r="O7" i="5"/>
  <c r="BD6" i="5"/>
  <c r="AK6" i="5"/>
  <c r="M6" i="5"/>
  <c r="BG5" i="5"/>
  <c r="AI5" i="5"/>
  <c r="O5" i="5"/>
  <c r="BE4" i="5"/>
  <c r="AG4" i="5"/>
  <c r="N4" i="5"/>
  <c r="BC3" i="5"/>
  <c r="AJ3" i="5"/>
  <c r="L3" i="5"/>
  <c r="BF2" i="5"/>
  <c r="AH2" i="5"/>
  <c r="N2" i="5"/>
  <c r="AW8" i="5"/>
  <c r="V8" i="5"/>
  <c r="BE7" i="5"/>
  <c r="AD7" i="5"/>
  <c r="C7" i="5"/>
  <c r="AO6" i="5"/>
  <c r="K6" i="5"/>
  <c r="AW5" i="5"/>
  <c r="V5" i="5"/>
  <c r="BH4" i="5"/>
  <c r="AD4" i="5"/>
  <c r="C4" i="5"/>
  <c r="AO3" i="5"/>
  <c r="K3" i="5"/>
  <c r="AW2" i="5"/>
  <c r="V2" i="5"/>
  <c r="BM6" i="5"/>
  <c r="AV8" i="5"/>
  <c r="U8" i="5"/>
  <c r="CB2" i="5" s="1"/>
  <c r="BD7" i="5"/>
  <c r="AC7" i="5"/>
  <c r="B7" i="5"/>
  <c r="AN6" i="5"/>
  <c r="J6" i="5"/>
  <c r="AV5" i="5"/>
  <c r="U5" i="5"/>
  <c r="BY2" i="5" s="1"/>
  <c r="BD4" i="5"/>
  <c r="AC4" i="5"/>
  <c r="B4" i="5"/>
  <c r="AN3" i="5"/>
  <c r="J3" i="5"/>
  <c r="AV2" i="5"/>
  <c r="U2" i="5"/>
  <c r="BV2" i="5" s="1"/>
  <c r="K8" i="5"/>
  <c r="BA7" i="5"/>
  <c r="AA7" i="5"/>
  <c r="AH6" i="5"/>
  <c r="H6" i="5"/>
  <c r="AT5" i="5"/>
  <c r="AU8" i="5"/>
  <c r="T8" i="5"/>
  <c r="BC7" i="5"/>
  <c r="AB7" i="5"/>
  <c r="A7" i="5"/>
  <c r="AJ6" i="5"/>
  <c r="I6" i="5"/>
  <c r="AU5" i="5"/>
  <c r="T5" i="5"/>
  <c r="BC4" i="5"/>
  <c r="AB4" i="5"/>
  <c r="A4" i="5"/>
  <c r="AM3" i="5"/>
  <c r="I3" i="5"/>
  <c r="AU2" i="5"/>
  <c r="T2" i="5"/>
  <c r="AT8" i="5"/>
  <c r="BK8" i="5"/>
  <c r="X8" i="5"/>
  <c r="AT7" i="5"/>
  <c r="K7" i="5"/>
  <c r="AC6" i="5"/>
  <c r="BK5" i="5"/>
  <c r="X5" i="5"/>
  <c r="AZ4" i="5"/>
  <c r="R4" i="5"/>
  <c r="AX3" i="5"/>
  <c r="S3" i="5"/>
  <c r="AR2" i="5"/>
  <c r="F2" i="5"/>
  <c r="AZ8" i="5"/>
  <c r="AQ7" i="5"/>
  <c r="D7" i="5"/>
  <c r="Z6" i="5"/>
  <c r="AZ5" i="5"/>
  <c r="J5" i="5"/>
  <c r="AS4" i="5"/>
  <c r="L4" i="5"/>
  <c r="AP3" i="5"/>
  <c r="E3" i="5"/>
  <c r="C2" i="5"/>
  <c r="BF8" i="5"/>
  <c r="W8" i="5"/>
  <c r="AS7" i="5"/>
  <c r="F7" i="5"/>
  <c r="AB6" i="5"/>
  <c r="BJ5" i="5"/>
  <c r="W5" i="5"/>
  <c r="AU4" i="5"/>
  <c r="Q4" i="5"/>
  <c r="AW3" i="5"/>
  <c r="H3" i="5"/>
  <c r="AP2" i="5"/>
  <c r="E2" i="5"/>
  <c r="I8" i="5"/>
  <c r="AG2" i="5"/>
  <c r="AY8" i="5"/>
  <c r="H8" i="5"/>
  <c r="AP7" i="5"/>
  <c r="BL6" i="5"/>
  <c r="Y6" i="5"/>
  <c r="AY5" i="5"/>
  <c r="I5" i="5"/>
  <c r="AR4" i="5"/>
  <c r="J4" i="5"/>
  <c r="AI3" i="5"/>
  <c r="BM2" i="5"/>
  <c r="AF2" i="5"/>
  <c r="B2" i="5"/>
  <c r="AX8" i="5"/>
  <c r="G8" i="5"/>
  <c r="AG7" i="5"/>
  <c r="BC6" i="5"/>
  <c r="X6" i="5"/>
  <c r="AX5" i="5"/>
  <c r="H5" i="5"/>
  <c r="AQ4" i="5"/>
  <c r="E4" i="5"/>
  <c r="AG3" i="5"/>
  <c r="BL2" i="5"/>
  <c r="AE2" i="5"/>
  <c r="A2" i="5"/>
  <c r="BA8" i="5"/>
  <c r="J8" i="5"/>
  <c r="AR7" i="5"/>
  <c r="E7" i="5"/>
  <c r="AA6" i="5"/>
  <c r="BE5" i="5"/>
  <c r="S5" i="5"/>
  <c r="AT4" i="5"/>
  <c r="M4" i="5"/>
  <c r="AU3" i="5"/>
  <c r="G3" i="5"/>
  <c r="AK2" i="5"/>
  <c r="D2" i="5"/>
  <c r="B8" i="5"/>
  <c r="BA6" i="5"/>
  <c r="BL5" i="5"/>
  <c r="A5" i="5"/>
  <c r="BK3" i="5"/>
  <c r="BJ2" i="5"/>
  <c r="G2" i="5"/>
  <c r="AR8" i="5"/>
  <c r="AX6" i="5"/>
  <c r="AP4" i="5"/>
  <c r="AZ3" i="5"/>
  <c r="AH8" i="5"/>
  <c r="AE7" i="5"/>
  <c r="AP6" i="5"/>
  <c r="AF5" i="5"/>
  <c r="AE4" i="5"/>
  <c r="AA3" i="5"/>
  <c r="AS2" i="5"/>
  <c r="Y8" i="5"/>
  <c r="R7" i="5"/>
  <c r="L6" i="5"/>
  <c r="F5" i="5"/>
  <c r="S4" i="5"/>
  <c r="W3" i="5"/>
  <c r="S2" i="5"/>
  <c r="N7" i="5"/>
  <c r="F6" i="5"/>
  <c r="E5" i="5"/>
  <c r="D4" i="5"/>
  <c r="V3" i="5"/>
  <c r="R2" i="5"/>
  <c r="E8" i="5"/>
  <c r="M7" i="5"/>
  <c r="A6" i="5"/>
  <c r="BM3" i="5"/>
  <c r="I2" i="5"/>
  <c r="BM8" i="5"/>
  <c r="BJ7" i="5"/>
  <c r="AZ6" i="5"/>
  <c r="AS5" i="5"/>
  <c r="BI4" i="5"/>
  <c r="BB3" i="5"/>
  <c r="BI2" i="5"/>
  <c r="AV7" i="5"/>
  <c r="AL5" i="5"/>
  <c r="AY2" i="5"/>
  <c r="AM8" i="5"/>
  <c r="AU7" i="5"/>
  <c r="AV6" i="5"/>
  <c r="AH5" i="5"/>
  <c r="AO4" i="5"/>
  <c r="AY3" i="5"/>
  <c r="AX2" i="5"/>
  <c r="AI8" i="5"/>
  <c r="AF7" i="5"/>
  <c r="AQ6" i="5"/>
  <c r="AG5" i="5"/>
  <c r="AF4" i="5"/>
  <c r="AB3" i="5"/>
  <c r="AT2" i="5"/>
  <c r="AG8" i="5"/>
  <c r="W6" i="5"/>
  <c r="AE5" i="5"/>
  <c r="AA4" i="5"/>
  <c r="Z3" i="5"/>
  <c r="AD2" i="5"/>
  <c r="Z4" i="5"/>
  <c r="U3" i="5"/>
  <c r="BW2" i="5" s="1"/>
  <c r="D8" i="5"/>
  <c r="BL8" i="5"/>
  <c r="BI7" i="5"/>
  <c r="AY6" i="5"/>
  <c r="AQ5" i="5"/>
  <c r="BB4" i="5"/>
  <c r="BA3" i="5"/>
  <c r="BD2" i="5"/>
  <c r="Y7" i="5"/>
  <c r="AF8" i="5"/>
  <c r="T7" i="5"/>
  <c r="V6" i="5"/>
  <c r="AC5" i="5"/>
  <c r="Y3" i="5"/>
  <c r="AB2" i="5"/>
  <c r="AD8" i="5"/>
  <c r="S7" i="5"/>
  <c r="T6" i="5"/>
  <c r="G5" i="5"/>
  <c r="X4" i="5"/>
  <c r="X3" i="5"/>
  <c r="W2" i="5"/>
  <c r="BB6" i="5"/>
  <c r="BM5" i="5"/>
  <c r="C5" i="5"/>
  <c r="BL3" i="5"/>
  <c r="BK2" i="5"/>
  <c r="H2" i="5"/>
  <c r="F8" i="5"/>
  <c r="D5" i="5"/>
  <c r="AL4" i="4"/>
  <c r="X4" i="4"/>
  <c r="AN3" i="4"/>
  <c r="Z3" i="4"/>
  <c r="BF6" i="6"/>
  <c r="AR6" i="6"/>
  <c r="AD6" i="6"/>
  <c r="P6" i="6"/>
  <c r="B6" i="6"/>
  <c r="BA5" i="6"/>
  <c r="AM5" i="6"/>
  <c r="Y5" i="6"/>
  <c r="K5" i="6"/>
  <c r="BJ4" i="6"/>
  <c r="AV4" i="6"/>
  <c r="AH4" i="6"/>
  <c r="T4" i="6"/>
  <c r="F4" i="6"/>
  <c r="BE3" i="6"/>
  <c r="AQ3" i="6"/>
  <c r="AC3" i="6"/>
  <c r="O3" i="6"/>
  <c r="A3" i="6"/>
  <c r="AZ2" i="6"/>
  <c r="AL2" i="6"/>
  <c r="X2" i="6"/>
  <c r="J2" i="6"/>
  <c r="BE6" i="6"/>
  <c r="AQ6" i="6"/>
  <c r="AC6" i="6"/>
  <c r="O6" i="6"/>
  <c r="A6" i="6"/>
  <c r="AZ5" i="6"/>
  <c r="AL5" i="6"/>
  <c r="X5" i="6"/>
  <c r="J5" i="6"/>
  <c r="BI4" i="6"/>
  <c r="AU4" i="6"/>
  <c r="AG4" i="6"/>
  <c r="S4" i="6"/>
  <c r="E4" i="6"/>
  <c r="BD3" i="6"/>
  <c r="AP3" i="6"/>
  <c r="AB3" i="6"/>
  <c r="N3" i="6"/>
  <c r="BM2" i="6"/>
  <c r="AY2" i="6"/>
  <c r="AK2" i="6"/>
  <c r="W2" i="6"/>
  <c r="I2" i="6"/>
  <c r="BD6" i="6"/>
  <c r="AP6" i="6"/>
  <c r="AB6" i="6"/>
  <c r="N6" i="6"/>
  <c r="BM5" i="6"/>
  <c r="AY5" i="6"/>
  <c r="AK5" i="6"/>
  <c r="W5" i="6"/>
  <c r="I5" i="6"/>
  <c r="BH4" i="6"/>
  <c r="AT4" i="6"/>
  <c r="AF4" i="6"/>
  <c r="R4" i="6"/>
  <c r="D4" i="6"/>
  <c r="BC3" i="6"/>
  <c r="AO3" i="6"/>
  <c r="AA3" i="6"/>
  <c r="M3" i="6"/>
  <c r="BL2" i="6"/>
  <c r="AX2" i="6"/>
  <c r="AJ2" i="6"/>
  <c r="V2" i="6"/>
  <c r="H2" i="6"/>
  <c r="BC6" i="6"/>
  <c r="AO6" i="6"/>
  <c r="AA6" i="6"/>
  <c r="M6" i="6"/>
  <c r="BL5" i="6"/>
  <c r="AX5" i="6"/>
  <c r="AJ5" i="6"/>
  <c r="V5" i="6"/>
  <c r="H5" i="6"/>
  <c r="BG4" i="6"/>
  <c r="AS4" i="6"/>
  <c r="AE4" i="6"/>
  <c r="Q4" i="6"/>
  <c r="C4" i="6"/>
  <c r="BB3" i="6"/>
  <c r="AN3" i="6"/>
  <c r="Z3" i="6"/>
  <c r="L3" i="6"/>
  <c r="BK2" i="6"/>
  <c r="AW2" i="6"/>
  <c r="AI2" i="6"/>
  <c r="U2" i="6"/>
  <c r="BV2" i="6" s="1"/>
  <c r="G2" i="6"/>
  <c r="BB6" i="6"/>
  <c r="AN6" i="6"/>
  <c r="Z6" i="6"/>
  <c r="L6" i="6"/>
  <c r="BK5" i="6"/>
  <c r="AW5" i="6"/>
  <c r="AI5" i="6"/>
  <c r="U5" i="6"/>
  <c r="BY2" i="6" s="1"/>
  <c r="G5" i="6"/>
  <c r="BF4" i="6"/>
  <c r="AR4" i="6"/>
  <c r="AD4" i="6"/>
  <c r="P4" i="6"/>
  <c r="B4" i="6"/>
  <c r="BA3" i="6"/>
  <c r="AM3" i="6"/>
  <c r="Y3" i="6"/>
  <c r="K3" i="6"/>
  <c r="BJ2" i="6"/>
  <c r="AV2" i="6"/>
  <c r="AH2" i="6"/>
  <c r="T2" i="6"/>
  <c r="F2" i="6"/>
  <c r="BA6" i="6"/>
  <c r="AM6" i="6"/>
  <c r="Y6" i="6"/>
  <c r="K6" i="6"/>
  <c r="BJ5" i="6"/>
  <c r="AV5" i="6"/>
  <c r="AH5" i="6"/>
  <c r="T5" i="6"/>
  <c r="F5" i="6"/>
  <c r="BE4" i="6"/>
  <c r="AQ4" i="6"/>
  <c r="AC4" i="6"/>
  <c r="O4" i="6"/>
  <c r="A4" i="6"/>
  <c r="AZ3" i="6"/>
  <c r="AL3" i="6"/>
  <c r="X3" i="6"/>
  <c r="J3" i="6"/>
  <c r="BI2" i="6"/>
  <c r="AU2" i="6"/>
  <c r="AG2" i="6"/>
  <c r="S2" i="6"/>
  <c r="E2" i="6"/>
  <c r="AZ6" i="6"/>
  <c r="AL6" i="6"/>
  <c r="X6" i="6"/>
  <c r="J6" i="6"/>
  <c r="BI5" i="6"/>
  <c r="AU5" i="6"/>
  <c r="AG5" i="6"/>
  <c r="S5" i="6"/>
  <c r="E5" i="6"/>
  <c r="BD4" i="6"/>
  <c r="AP4" i="6"/>
  <c r="AB4" i="6"/>
  <c r="N4" i="6"/>
  <c r="BM3" i="6"/>
  <c r="AY3" i="6"/>
  <c r="AK3" i="6"/>
  <c r="W3" i="6"/>
  <c r="I3" i="6"/>
  <c r="BH2" i="6"/>
  <c r="AT2" i="6"/>
  <c r="AF2" i="6"/>
  <c r="R2" i="6"/>
  <c r="D2" i="6"/>
  <c r="BM6" i="6"/>
  <c r="AY6" i="6"/>
  <c r="AK6" i="6"/>
  <c r="W6" i="6"/>
  <c r="I6" i="6"/>
  <c r="BH5" i="6"/>
  <c r="AT5" i="6"/>
  <c r="AF5" i="6"/>
  <c r="R5" i="6"/>
  <c r="D5" i="6"/>
  <c r="BC4" i="6"/>
  <c r="AO4" i="6"/>
  <c r="AA4" i="6"/>
  <c r="M4" i="6"/>
  <c r="BL3" i="6"/>
  <c r="AX3" i="6"/>
  <c r="AJ3" i="6"/>
  <c r="V3" i="6"/>
  <c r="H3" i="6"/>
  <c r="BG2" i="6"/>
  <c r="AS2" i="6"/>
  <c r="AE2" i="6"/>
  <c r="Q2" i="6"/>
  <c r="C2" i="6"/>
  <c r="BI6" i="6"/>
  <c r="AE6" i="6"/>
  <c r="BF5" i="6"/>
  <c r="AB5" i="6"/>
  <c r="BK4" i="6"/>
  <c r="Y4" i="6"/>
  <c r="BH3" i="6"/>
  <c r="AD3" i="6"/>
  <c r="BE2" i="6"/>
  <c r="AA2" i="6"/>
  <c r="BH6" i="6"/>
  <c r="V6" i="6"/>
  <c r="BE5" i="6"/>
  <c r="AA5" i="6"/>
  <c r="BB4" i="6"/>
  <c r="X4" i="6"/>
  <c r="BG3" i="6"/>
  <c r="U3" i="6"/>
  <c r="BW2" i="6" s="1"/>
  <c r="BD2" i="6"/>
  <c r="Z2" i="6"/>
  <c r="BG6" i="6"/>
  <c r="U6" i="6"/>
  <c r="BZ2" i="6" s="1"/>
  <c r="BD5" i="6"/>
  <c r="Z5" i="6"/>
  <c r="BA4" i="6"/>
  <c r="W4" i="6"/>
  <c r="BF3" i="6"/>
  <c r="T3" i="6"/>
  <c r="BC2" i="6"/>
  <c r="Y2" i="6"/>
  <c r="AX6" i="6"/>
  <c r="Q6" i="6"/>
  <c r="AO5" i="6"/>
  <c r="BM4" i="6"/>
  <c r="U4" i="6"/>
  <c r="BX2" i="6" s="1"/>
  <c r="AS3" i="6"/>
  <c r="D3" i="6"/>
  <c r="AB2" i="6"/>
  <c r="J4" i="6"/>
  <c r="AW6" i="6"/>
  <c r="H6" i="6"/>
  <c r="AN5" i="6"/>
  <c r="BL4" i="6"/>
  <c r="L4" i="6"/>
  <c r="AR3" i="6"/>
  <c r="C3" i="6"/>
  <c r="P2" i="6"/>
  <c r="F6" i="6"/>
  <c r="BF2" i="6"/>
  <c r="AV6" i="6"/>
  <c r="G6" i="6"/>
  <c r="AE5" i="6"/>
  <c r="AZ4" i="6"/>
  <c r="K4" i="6"/>
  <c r="AI3" i="6"/>
  <c r="B3" i="6"/>
  <c r="O2" i="6"/>
  <c r="AU6" i="6"/>
  <c r="AD5" i="6"/>
  <c r="AY4" i="6"/>
  <c r="AH3" i="6"/>
  <c r="N2" i="6"/>
  <c r="AT6" i="6"/>
  <c r="BC5" i="6"/>
  <c r="B5" i="6"/>
  <c r="G4" i="6"/>
  <c r="P3" i="6"/>
  <c r="M2" i="6"/>
  <c r="AI6" i="6"/>
  <c r="AH6" i="6"/>
  <c r="AQ5" i="6"/>
  <c r="AN4" i="6"/>
  <c r="AW3" i="6"/>
  <c r="BB2" i="6"/>
  <c r="AS6" i="6"/>
  <c r="BB5" i="6"/>
  <c r="A5" i="6"/>
  <c r="BK3" i="6"/>
  <c r="G3" i="6"/>
  <c r="L2" i="6"/>
  <c r="AR5" i="6"/>
  <c r="AW4" i="6"/>
  <c r="BI3" i="6"/>
  <c r="E3" i="6"/>
  <c r="B2" i="6"/>
  <c r="AG6" i="6"/>
  <c r="AP5" i="6"/>
  <c r="AM4" i="6"/>
  <c r="AV3" i="6"/>
  <c r="BA2" i="6"/>
  <c r="A2" i="6"/>
  <c r="AJ6" i="6"/>
  <c r="AS5" i="6"/>
  <c r="AX4" i="6"/>
  <c r="BJ3" i="6"/>
  <c r="F3" i="6"/>
  <c r="K2" i="6"/>
  <c r="S6" i="6"/>
  <c r="AL4" i="6"/>
  <c r="R3" i="6"/>
  <c r="C6" i="6"/>
  <c r="BG5" i="6"/>
  <c r="AC5" i="6"/>
  <c r="I4" i="6"/>
  <c r="AN2" i="6"/>
  <c r="AT3" i="6"/>
  <c r="BK6" i="6"/>
  <c r="AG3" i="6"/>
  <c r="BJ6" i="6"/>
  <c r="AF3" i="6"/>
  <c r="L5" i="6"/>
  <c r="S3" i="6"/>
  <c r="R6" i="6"/>
  <c r="AK4" i="6"/>
  <c r="Q3" i="6"/>
  <c r="D6" i="6"/>
  <c r="AI4" i="6"/>
  <c r="AQ2" i="6"/>
  <c r="Z4" i="6"/>
  <c r="AP2" i="6"/>
  <c r="V4" i="6"/>
  <c r="AO2" i="6"/>
  <c r="Q5" i="6"/>
  <c r="H4" i="6"/>
  <c r="AM2" i="6"/>
  <c r="BL6" i="6"/>
  <c r="AC2" i="6"/>
  <c r="AF6" i="6"/>
  <c r="C5" i="6"/>
  <c r="E6" i="6"/>
  <c r="AJ4" i="6"/>
  <c r="AR2" i="6"/>
  <c r="P5" i="6"/>
  <c r="AU3" i="6"/>
  <c r="AD2" i="6"/>
  <c r="O5" i="6"/>
  <c r="N5" i="6"/>
  <c r="M5" i="6"/>
  <c r="AE3" i="6"/>
  <c r="T6" i="6"/>
  <c r="AN4" i="4"/>
  <c r="Z4" i="4"/>
  <c r="AO4" i="4"/>
  <c r="AA4" i="4"/>
  <c r="BU2" i="5" l="1"/>
  <c r="CI2" i="5"/>
  <c r="CC2" i="6"/>
  <c r="BO2" i="6"/>
  <c r="CD2" i="5"/>
  <c r="BP2" i="5"/>
  <c r="CF2" i="5"/>
  <c r="BR2" i="5"/>
  <c r="CD2" i="6"/>
  <c r="BP2" i="6"/>
  <c r="CC2" i="5"/>
  <c r="BO2" i="5"/>
  <c r="CE2" i="6"/>
  <c r="BQ2" i="6"/>
  <c r="CG2" i="6"/>
  <c r="BS2" i="6"/>
  <c r="CF2" i="6"/>
  <c r="BR2" i="6"/>
  <c r="CE2" i="5"/>
  <c r="BQ2" i="5"/>
  <c r="CG2" i="5"/>
  <c r="BS2" i="5"/>
  <c r="CH2" i="5"/>
  <c r="BT2" i="5"/>
</calcChain>
</file>

<file path=xl/sharedStrings.xml><?xml version="1.0" encoding="utf-8"?>
<sst xmlns="http://schemas.openxmlformats.org/spreadsheetml/2006/main" count="16164" uniqueCount="2500">
  <si>
    <t>Nr.</t>
  </si>
  <si>
    <t>Sæti</t>
  </si>
  <si>
    <t>Holl</t>
  </si>
  <si>
    <t>Hönd</t>
  </si>
  <si>
    <t>Knapi</t>
  </si>
  <si>
    <t>LiturRas</t>
  </si>
  <si>
    <t>Félag knapa</t>
  </si>
  <si>
    <t>Hestur</t>
  </si>
  <si>
    <t>Litur</t>
  </si>
  <si>
    <t>Aldur</t>
  </si>
  <si>
    <t>Félag eiganda</t>
  </si>
  <si>
    <t>Lið</t>
  </si>
  <si>
    <t>NafnBIG</t>
  </si>
  <si>
    <t>E1</t>
  </si>
  <si>
    <t>E2</t>
  </si>
  <si>
    <t>E3</t>
  </si>
  <si>
    <t>E4</t>
  </si>
  <si>
    <t>E5</t>
  </si>
  <si>
    <t>E6</t>
  </si>
  <si>
    <t>Knapi1</t>
  </si>
  <si>
    <t>Knapi2</t>
  </si>
  <si>
    <t>Knapi3</t>
  </si>
  <si>
    <t>Knapi4</t>
  </si>
  <si>
    <t>Knapi5</t>
  </si>
  <si>
    <t>Knapi6</t>
  </si>
  <si>
    <t>Knapi7</t>
  </si>
  <si>
    <t>Hestur1</t>
  </si>
  <si>
    <t>Hestur2</t>
  </si>
  <si>
    <t>Hestur3</t>
  </si>
  <si>
    <t>Hestur4</t>
  </si>
  <si>
    <t>Hestur5</t>
  </si>
  <si>
    <t>Hestur6</t>
  </si>
  <si>
    <t>Hestur7</t>
  </si>
  <si>
    <t>Lið1</t>
  </si>
  <si>
    <t>Lið2</t>
  </si>
  <si>
    <t>Lið3</t>
  </si>
  <si>
    <t>Lið4</t>
  </si>
  <si>
    <t>Lið5</t>
  </si>
  <si>
    <t>Lið6</t>
  </si>
  <si>
    <t>Lið7</t>
  </si>
  <si>
    <t>Rásnr1</t>
  </si>
  <si>
    <t>Rásnr2</t>
  </si>
  <si>
    <t>Rásnr3</t>
  </si>
  <si>
    <t>Rásnr4</t>
  </si>
  <si>
    <t>Rásnr5</t>
  </si>
  <si>
    <t>Rásnr6</t>
  </si>
  <si>
    <t>Rásnr7</t>
  </si>
  <si>
    <t>Titill</t>
  </si>
  <si>
    <t>L1</t>
  </si>
  <si>
    <t>L2</t>
  </si>
  <si>
    <t>L3</t>
  </si>
  <si>
    <t>L4</t>
  </si>
  <si>
    <t>L5</t>
  </si>
  <si>
    <t>L6</t>
  </si>
  <si>
    <t>L7</t>
  </si>
  <si>
    <t/>
  </si>
  <si>
    <t>V</t>
  </si>
  <si>
    <t>1 - Rauður</t>
  </si>
  <si>
    <t>Þytur</t>
  </si>
  <si>
    <t>Ráslisti Forkeppni</t>
  </si>
  <si>
    <t>Sleipnir</t>
  </si>
  <si>
    <t>Geysir</t>
  </si>
  <si>
    <t>Fákur</t>
  </si>
  <si>
    <t>Brúnn/milli-einlitt</t>
  </si>
  <si>
    <t>Sprettur</t>
  </si>
  <si>
    <t>Hörður</t>
  </si>
  <si>
    <t>Sörli</t>
  </si>
  <si>
    <t>Rauður/milli-blesótt</t>
  </si>
  <si>
    <t>Dreyri</t>
  </si>
  <si>
    <t>Þorgeir Ólafsson</t>
  </si>
  <si>
    <t>Gígjar frá Bakkakoti</t>
  </si>
  <si>
    <t>Knapi-Sorted1.1</t>
  </si>
  <si>
    <t>Knapi-Sorted1.2</t>
  </si>
  <si>
    <t>Knapi-Sorted1.3</t>
  </si>
  <si>
    <t>Knapi-Sorted1.4</t>
  </si>
  <si>
    <t>Knapi-Sorted1.5</t>
  </si>
  <si>
    <t>Knapi-Sorted1.6</t>
  </si>
  <si>
    <t>Knapi-Sorted1.7</t>
  </si>
  <si>
    <t>E6-sorted1</t>
  </si>
  <si>
    <t>E6-sorted2</t>
  </si>
  <si>
    <t>E6-sorted3</t>
  </si>
  <si>
    <t>E6-sorted4</t>
  </si>
  <si>
    <t>E6-sorted5</t>
  </si>
  <si>
    <t>E6-sorted6</t>
  </si>
  <si>
    <t>E6-sorted7</t>
  </si>
  <si>
    <t>Knapi-Sorted2.1</t>
  </si>
  <si>
    <t>Knapi-Sorted2.2</t>
  </si>
  <si>
    <t>Knapi-Sorted2.3</t>
  </si>
  <si>
    <t>Knapi-Sorted2.4</t>
  </si>
  <si>
    <t>Knapi-Sorted2.5</t>
  </si>
  <si>
    <t>Knapi-Sorted2.6</t>
  </si>
  <si>
    <t>Knapi-Sorted2.7</t>
  </si>
  <si>
    <t>Sæti-sorted1</t>
  </si>
  <si>
    <t>Sæti-sorted2</t>
  </si>
  <si>
    <t>Sæti-sorted3</t>
  </si>
  <si>
    <t>Sæti-sorted4</t>
  </si>
  <si>
    <t>Sæti-sorted5</t>
  </si>
  <si>
    <t>Sæti-sorted6</t>
  </si>
  <si>
    <t>Sæti-sorted7</t>
  </si>
  <si>
    <t>Einstaklingskeppni</t>
  </si>
  <si>
    <t>k5.Fill.Color</t>
  </si>
  <si>
    <t>k6.Fill.Color</t>
  </si>
  <si>
    <t>E1_TFH</t>
  </si>
  <si>
    <t>E2_TFH</t>
  </si>
  <si>
    <t>E3_TFH</t>
  </si>
  <si>
    <t>E4_TFH</t>
  </si>
  <si>
    <t>E5_TFH</t>
  </si>
  <si>
    <t>E6_TFH</t>
  </si>
  <si>
    <t>E1_HT</t>
  </si>
  <si>
    <t>E2_HT</t>
  </si>
  <si>
    <t>E3_HT</t>
  </si>
  <si>
    <t>E4_HT</t>
  </si>
  <si>
    <t>E5_HT</t>
  </si>
  <si>
    <t>E6_HT</t>
  </si>
  <si>
    <t>E1_TST</t>
  </si>
  <si>
    <t>E2_TST</t>
  </si>
  <si>
    <t>E3_TST</t>
  </si>
  <si>
    <t>E4_TST</t>
  </si>
  <si>
    <t>E5_TST</t>
  </si>
  <si>
    <t>E6_TST</t>
  </si>
  <si>
    <t>E1_BR</t>
  </si>
  <si>
    <t>E2_BR</t>
  </si>
  <si>
    <t>E3_BR</t>
  </si>
  <si>
    <t>E4_BR</t>
  </si>
  <si>
    <t>E5_BR</t>
  </si>
  <si>
    <t>E6_BR</t>
  </si>
  <si>
    <t>E1_ST</t>
  </si>
  <si>
    <t>E2_ST</t>
  </si>
  <si>
    <t>E3_ST</t>
  </si>
  <si>
    <t>E4_ST</t>
  </si>
  <si>
    <t>E5_ST</t>
  </si>
  <si>
    <t>E6_ST</t>
  </si>
  <si>
    <t>E1_GR</t>
  </si>
  <si>
    <t>E2_GR</t>
  </si>
  <si>
    <t>E3_GR</t>
  </si>
  <si>
    <t>E4_GR</t>
  </si>
  <si>
    <t>E5_GR</t>
  </si>
  <si>
    <t>E6_GR</t>
  </si>
  <si>
    <t>E1_FE</t>
  </si>
  <si>
    <t>E2_FE</t>
  </si>
  <si>
    <t>E3_FE</t>
  </si>
  <si>
    <t>E4_FE</t>
  </si>
  <si>
    <t>E5_FE</t>
  </si>
  <si>
    <t>E6_FE</t>
  </si>
  <si>
    <t>LiðBackground.Fill.Color</t>
  </si>
  <si>
    <t>Rectangle7.Fill.Color</t>
  </si>
  <si>
    <t>#362C34</t>
  </si>
  <si>
    <t>#F2F2F2</t>
  </si>
  <si>
    <t>B-Úrslit - Ráslisti</t>
  </si>
  <si>
    <t>2 - Gulur</t>
  </si>
  <si>
    <t>#362C35</t>
  </si>
  <si>
    <t>#F2F2F3</t>
  </si>
  <si>
    <t>3 - Grænn</t>
  </si>
  <si>
    <t>#362C36</t>
  </si>
  <si>
    <t>#F2F2F4</t>
  </si>
  <si>
    <t>4 - Blár</t>
  </si>
  <si>
    <t>#362C37</t>
  </si>
  <si>
    <t>#F2F2F5</t>
  </si>
  <si>
    <t>5 - Hvítur</t>
  </si>
  <si>
    <t>#362C38</t>
  </si>
  <si>
    <t>#F2F2F6</t>
  </si>
  <si>
    <t>B-Úrslit - Aðaleinkunn</t>
  </si>
  <si>
    <t>A-Úrslit - Ráslisti</t>
  </si>
  <si>
    <t>A-Úrslit - Aðaleinkunn</t>
  </si>
  <si>
    <t>timestamp</t>
  </si>
  <si>
    <t>event</t>
  </si>
  <si>
    <t>eventId</t>
  </si>
  <si>
    <t>classId</t>
  </si>
  <si>
    <t>competitionId</t>
  </si>
  <si>
    <t>published</t>
  </si>
  <si>
    <t>payload</t>
  </si>
  <si>
    <t>2026-02-06T17:25:44.637Z</t>
  </si>
  <si>
    <t>event_einkunn_saeti</t>
  </si>
  <si>
    <t>{"eventId":70617,"classId":203060,"competitionId":3,"published":1}</t>
  </si>
  <si>
    <t>2026-02-06T17:26:08.376Z</t>
  </si>
  <si>
    <t>event_raslisti_birtur</t>
  </si>
  <si>
    <t>{"classId":103060,"eventId":70617,"competitionId":3,"published":1}</t>
  </si>
  <si>
    <t>2026-02-06T17:26:36.981Z</t>
  </si>
  <si>
    <t>71454</t>
  </si>
  <si>
    <t>103360</t>
  </si>
  <si>
    <t>2</t>
  </si>
  <si>
    <t>{"eventId":"71454","classId":"103360","competitionId":"2"}</t>
  </si>
  <si>
    <t>2026-02-06T17:26:45.046Z</t>
  </si>
  <si>
    <t>{"eventId":70617,"classId":103060,"competitionId":3,"published":1}</t>
  </si>
  <si>
    <t>2026-02-06T17:28:17.311Z</t>
  </si>
  <si>
    <t>event_keppendalisti_breyta</t>
  </si>
  <si>
    <t>71174</t>
  </si>
  <si>
    <t>{"eventId":"71174"}</t>
  </si>
  <si>
    <t>2026-02-06T17:38:11.833Z</t>
  </si>
  <si>
    <t>{"classId":103060,"eventId":70617,"competitionId":1,"published":1}</t>
  </si>
  <si>
    <t>2026-02-06T17:38:16.713Z</t>
  </si>
  <si>
    <t>{"classId":103060,"eventId":70617,"competitionId":2,"published":1}</t>
  </si>
  <si>
    <t>2026-02-06T17:42:11.156Z</t>
  </si>
  <si>
    <t>2026-02-06T17:51:29.690Z</t>
  </si>
  <si>
    <t>{"eventId":70617,"classId":103060,"competitionId":2,"published":1}</t>
  </si>
  <si>
    <t>2026-02-06T17:51:44.744Z</t>
  </si>
  <si>
    <t>{"eventId":70617,"classId":103060,"competitionId":1,"published":1}</t>
  </si>
  <si>
    <t>2026-02-06T18:00:02.119Z</t>
  </si>
  <si>
    <t>2026-02-06T18:10:35.375Z</t>
  </si>
  <si>
    <t>70834</t>
  </si>
  <si>
    <t>102564</t>
  </si>
  <si>
    <t>1</t>
  </si>
  <si>
    <t>{"eventId":"70834","classId":"102564","published":"1"}</t>
  </si>
  <si>
    <t>2026-02-06T18:10:55.996Z</t>
  </si>
  <si>
    <t>0</t>
  </si>
  <si>
    <t>{"eventId":"70834","classId":"102564","published":"0"}</t>
  </si>
  <si>
    <t>2026-02-06T18:10:58.913Z</t>
  </si>
  <si>
    <t>2026-02-06T18:53:26.775Z</t>
  </si>
  <si>
    <t>70474</t>
  </si>
  <si>
    <t>{"eventId":"70474"}</t>
  </si>
  <si>
    <t>2026-02-06T19:01:50.344Z</t>
  </si>
  <si>
    <t>2026-02-06T19:01:55.143Z</t>
  </si>
  <si>
    <t>2026-02-06T20:25:44.430Z</t>
  </si>
  <si>
    <t>2026-02-06T20:28:34.398Z</t>
  </si>
  <si>
    <t>2026-02-06T20:32:28.038Z</t>
  </si>
  <si>
    <t>{"eventId":70617,"classId":103060,"published":1,"competitionId":1}</t>
  </si>
  <si>
    <t>2026-02-06T20:32:41.196Z</t>
  </si>
  <si>
    <t>{"eventId":70617,"classId":103060,"published":1,"competitionId":2}</t>
  </si>
  <si>
    <t>2026-02-06T20:32:47.035Z</t>
  </si>
  <si>
    <t>{"eventId":70617,"classId":103060,"published":1,"competitionId":3}</t>
  </si>
  <si>
    <t>2026-02-06T20:37:12.560Z</t>
  </si>
  <si>
    <t>102563</t>
  </si>
  <si>
    <t>{"eventId":"70834","classId":"102563","published":"0"}</t>
  </si>
  <si>
    <t>2026-02-06T20:37:14.411Z</t>
  </si>
  <si>
    <t>{"eventId":"70834","classId":"102563","published":"1"}</t>
  </si>
  <si>
    <t>2026-02-06T20:37:58.328Z</t>
  </si>
  <si>
    <t>102800</t>
  </si>
  <si>
    <t>{"eventId":"70834","classId":"102800","published":"0"}</t>
  </si>
  <si>
    <t>2026-02-06T20:37:59.247Z</t>
  </si>
  <si>
    <t>{"eventId":"70834","classId":"102800","published":"1"}</t>
  </si>
  <si>
    <t>2026-02-06T20:38:02.229Z</t>
  </si>
  <si>
    <t>102559</t>
  </si>
  <si>
    <t>{"eventId":"70834","classId":"102559","published":"0"}</t>
  </si>
  <si>
    <t>2026-02-06T20:38:03.181Z</t>
  </si>
  <si>
    <t>{"eventId":"70834","classId":"102559","published":"1"}</t>
  </si>
  <si>
    <t>2026-02-06T20:38:06.397Z</t>
  </si>
  <si>
    <t>102561</t>
  </si>
  <si>
    <t>{"eventId":"70834","classId":"102561","published":"0"}</t>
  </si>
  <si>
    <t>2026-02-06T20:38:08.284Z</t>
  </si>
  <si>
    <t>{"eventId":"70834","classId":"102561","published":"1"}</t>
  </si>
  <si>
    <t>2026-02-06T20:38:12.222Z</t>
  </si>
  <si>
    <t>102562</t>
  </si>
  <si>
    <t>{"eventId":"70834","classId":"102562","published":"0"}</t>
  </si>
  <si>
    <t>2026-02-06T20:38:13.245Z</t>
  </si>
  <si>
    <t>{"eventId":"70834","classId":"102562","published":"1"}</t>
  </si>
  <si>
    <t>2026-02-06T20:38:19.478Z</t>
  </si>
  <si>
    <t>2026-02-06T20:38:21.414Z</t>
  </si>
  <si>
    <t>2026-02-06T20:38:26.184Z</t>
  </si>
  <si>
    <t>2026-02-06T20:38:27.293Z</t>
  </si>
  <si>
    <t>2026-02-06T20:38:30.301Z</t>
  </si>
  <si>
    <t>102565</t>
  </si>
  <si>
    <t>{"eventId":"70834","classId":"102565","published":"0"}</t>
  </si>
  <si>
    <t>2026-02-06T20:38:31.209Z</t>
  </si>
  <si>
    <t>{"eventId":"70834","classId":"102565","published":"1"}</t>
  </si>
  <si>
    <t>2026-02-06T20:38:33.210Z</t>
  </si>
  <si>
    <t>102566</t>
  </si>
  <si>
    <t>{"eventId":"70834","classId":"102566","published":"0"}</t>
  </si>
  <si>
    <t>2026-02-06T20:38:35.027Z</t>
  </si>
  <si>
    <t>{"eventId":"70834","classId":"102566","published":"1"}</t>
  </si>
  <si>
    <t>2026-02-06T20:54:04.447Z</t>
  </si>
  <si>
    <t>2026-02-06T20:54:09.883Z</t>
  </si>
  <si>
    <t>2026-02-06T20:54:13.572Z</t>
  </si>
  <si>
    <t>2026-02-06T20:54:38.697Z</t>
  </si>
  <si>
    <t>2026-02-06T20:54:40.932Z</t>
  </si>
  <si>
    <t>2026-02-06T20:54:43.389Z</t>
  </si>
  <si>
    <t>2026-02-06T20:54:44.336Z</t>
  </si>
  <si>
    <t>2026-02-06T20:56:00.959Z</t>
  </si>
  <si>
    <t>2026-02-06T20:56:03.982Z</t>
  </si>
  <si>
    <t>2026-02-06T20:56:07.158Z</t>
  </si>
  <si>
    <t>2026-02-06T20:56:10.546Z</t>
  </si>
  <si>
    <t>2026-02-06T20:56:14.021Z</t>
  </si>
  <si>
    <t>2026-02-06T20:56:17.091Z</t>
  </si>
  <si>
    <t>2026-02-07T12:59:15.830Z</t>
  </si>
  <si>
    <t>2026-02-07T13:00:14.113Z</t>
  </si>
  <si>
    <t>2026-02-07T13:00:41.489Z</t>
  </si>
  <si>
    <t>2026-02-07T13:01:04.226Z</t>
  </si>
  <si>
    <t>2026-02-07T13:04:49.808Z</t>
  </si>
  <si>
    <t>12</t>
  </si>
  <si>
    <t>{"eventId":"70834","classId":"102564","competitionId":"12"}</t>
  </si>
  <si>
    <t>2026-02-07T13:07:08.757Z</t>
  </si>
  <si>
    <t>2026-02-07T13:11:55.753Z</t>
  </si>
  <si>
    <t>{"eventId":"70834"}</t>
  </si>
  <si>
    <t>2026-02-07T13:11:56.116Z</t>
  </si>
  <si>
    <t>2026-02-07T13:12:07.776Z</t>
  </si>
  <si>
    <t>2026-02-07T13:12:08.497Z</t>
  </si>
  <si>
    <t>2026-02-07T13:12:34.870Z</t>
  </si>
  <si>
    <t>2026-02-07T13:12:35.684Z</t>
  </si>
  <si>
    <t>2026-02-07T13:15:50.375Z</t>
  </si>
  <si>
    <t>2026-02-07T13:25:51.836Z</t>
  </si>
  <si>
    <t>71294</t>
  </si>
  <si>
    <t>103080</t>
  </si>
  <si>
    <t>{"eventId":"71294","classId":"103080","published":"0"}</t>
  </si>
  <si>
    <t>2026-02-07T13:26:02.828Z</t>
  </si>
  <si>
    <t>70994</t>
  </si>
  <si>
    <t>{"eventId":"70994"}</t>
  </si>
  <si>
    <t>2026-02-07T13:26:52.902Z</t>
  </si>
  <si>
    <t>{"eventId":"71294"}</t>
  </si>
  <si>
    <t>2026-02-07T13:27:57.579Z</t>
  </si>
  <si>
    <t>103103</t>
  </si>
  <si>
    <t>{"eventId":"71294","classId":"103103","published":"0"}</t>
  </si>
  <si>
    <t>2026-02-07T13:28:17.284Z</t>
  </si>
  <si>
    <t>71058</t>
  </si>
  <si>
    <t>102763</t>
  </si>
  <si>
    <t>{"eventId":"71058","classId":"102763","competitionId":"1"}</t>
  </si>
  <si>
    <t>2026-02-07T13:28:26.870Z</t>
  </si>
  <si>
    <t>2026-02-07T13:28:33.534Z</t>
  </si>
  <si>
    <t>102761</t>
  </si>
  <si>
    <t>{"eventId":"71058","classId":"102761","competitionId":"1"}</t>
  </si>
  <si>
    <t>2026-02-07T13:29:03.802Z</t>
  </si>
  <si>
    <t>3</t>
  </si>
  <si>
    <t>{"eventId":"70834","classId":"102559","competitionId":"3"}</t>
  </si>
  <si>
    <t>2026-02-07T13:29:05.904Z</t>
  </si>
  <si>
    <t>{"eventId":"71294","classId":"103103","published":"1"}</t>
  </si>
  <si>
    <t>2026-02-07T13:30:07.317Z</t>
  </si>
  <si>
    <t>{"eventId":"71294","classId":"103080","published":"1"}</t>
  </si>
  <si>
    <t>2026-02-07T13:30:23.531Z</t>
  </si>
  <si>
    <t>2026-02-07T13:30:25.442Z</t>
  </si>
  <si>
    <t>2026-02-07T13:31:35.868Z</t>
  </si>
  <si>
    <t>2026-02-07T13:33:40.049Z</t>
  </si>
  <si>
    <t>2026-02-07T13:42:38.248Z</t>
  </si>
  <si>
    <t>2026-02-07T13:43:13.156Z</t>
  </si>
  <si>
    <t>2026-02-07T13:43:57.936Z</t>
  </si>
  <si>
    <t>{"eventId":"70834","classId":"102566","competitionId":"3"}</t>
  </si>
  <si>
    <t>2026-02-07T13:46:32.209Z</t>
  </si>
  <si>
    <t>2026-02-07T13:51:27.020Z</t>
  </si>
  <si>
    <t>2026-02-08T10:41:04.530Z</t>
  </si>
  <si>
    <t>2026-02-08T10:44:00.305Z</t>
  </si>
  <si>
    <t>70394</t>
  </si>
  <si>
    <t>{"eventId":"70394"}</t>
  </si>
  <si>
    <t>2026-02-08T10:44:10.307Z</t>
  </si>
  <si>
    <t>70214</t>
  </si>
  <si>
    <t>{"eventId":"70214"}</t>
  </si>
  <si>
    <t>2026-02-08T10:44:11.143Z</t>
  </si>
  <si>
    <t>101595</t>
  </si>
  <si>
    <t>{"eventId":"70214","classId":"101595","published":"1"}</t>
  </si>
  <si>
    <t>2026-02-08T10:45:20.356Z</t>
  </si>
  <si>
    <t>{"eventId":"71058","classId":"102763","published":"1"}</t>
  </si>
  <si>
    <t>2026-02-08T10:45:21.228Z</t>
  </si>
  <si>
    <t>{"eventId":"71058"}</t>
  </si>
  <si>
    <t>2026-02-08T10:48:32.989Z</t>
  </si>
  <si>
    <t>2026-02-08T10:49:57.337Z</t>
  </si>
  <si>
    <t>2026-02-08T10:51:14.796Z</t>
  </si>
  <si>
    <t>2026-02-08T10:54:02.307Z</t>
  </si>
  <si>
    <t>2026-02-08T10:54:45.310Z</t>
  </si>
  <si>
    <t>{"eventId":71274,"classId":103060,"competitionId":1,"published":1}</t>
  </si>
  <si>
    <t>2026-02-08T11:22:44.355Z</t>
  </si>
  <si>
    <t>{"eventId":70214,"classId":101595,"competitionId":1,"published":1}</t>
  </si>
  <si>
    <t>2026-02-08T11:28:24.325Z</t>
  </si>
  <si>
    <t>2026-02-08T11:29:07.275Z</t>
  </si>
  <si>
    <t>2026-02-08T11:30:19.251Z</t>
  </si>
  <si>
    <t>2026-02-08T11:35:08.160Z</t>
  </si>
  <si>
    <t>{"eventId":71274,"classId":101595,"competitionId":1,"published":1}</t>
  </si>
  <si>
    <t>2026-02-08T11:35:37.608Z</t>
  </si>
  <si>
    <t>2026-02-08T11:39:21.902Z</t>
  </si>
  <si>
    <t>{"eventId":71274,"classId":103059,"competitionId":1,"published":1}</t>
  </si>
  <si>
    <t>2026-02-08T11:39:34.982Z</t>
  </si>
  <si>
    <t>2026-02-08T11:40:28.716Z</t>
  </si>
  <si>
    <t>2026-02-08T11:40:29.052Z</t>
  </si>
  <si>
    <t>{"eventId":71274,"classId":103059,"competitionId":3,"published":1}</t>
  </si>
  <si>
    <t>2026-02-08T11:40:29.353Z</t>
  </si>
  <si>
    <t>{"eventId":71274,"classId":103059,"competitionId":2,"published":1}</t>
  </si>
  <si>
    <t>2026-02-08T11:40:32.034Z</t>
  </si>
  <si>
    <t>2026-02-08T11:40:32.344Z</t>
  </si>
  <si>
    <t>2026-02-08T11:40:32.695Z</t>
  </si>
  <si>
    <t>2026-02-08T12:02:52.006Z</t>
  </si>
  <si>
    <t>2026-02-08T12:06:04.768Z</t>
  </si>
  <si>
    <t>2026-02-08T12:06:17.376Z</t>
  </si>
  <si>
    <t>2026-02-08T12:06:24.332Z</t>
  </si>
  <si>
    <t>71274</t>
  </si>
  <si>
    <t>103059</t>
  </si>
  <si>
    <t>{"eventId":"71274","classId":"103059","competitionId":"1"}</t>
  </si>
  <si>
    <t>2026-02-08T12:10:13.062Z</t>
  </si>
  <si>
    <t>2026-02-08T12:10:19.308Z</t>
  </si>
  <si>
    <t>2026-02-08T12:10:25.403Z</t>
  </si>
  <si>
    <t>2026-02-08T12:14:02.666Z</t>
  </si>
  <si>
    <t>2026-02-08T12:14:12.755Z</t>
  </si>
  <si>
    <t>2026-02-08T12:14:13.680Z</t>
  </si>
  <si>
    <t>2026-02-08T12:18:29.832Z</t>
  </si>
  <si>
    <t>2026-02-08T12:18:38.338Z</t>
  </si>
  <si>
    <t>2026-02-08T12:22:26.304Z</t>
  </si>
  <si>
    <t>2026-02-08T12:22:36.685Z</t>
  </si>
  <si>
    <t>2026-02-08T12:22:38.253Z</t>
  </si>
  <si>
    <t>2026-02-08T12:26:23.033Z</t>
  </si>
  <si>
    <t>2026-02-08T12:26:34.749Z</t>
  </si>
  <si>
    <t>2026-02-08T12:26:38.650Z</t>
  </si>
  <si>
    <t>2026-02-08T12:30:22.636Z</t>
  </si>
  <si>
    <t>2026-02-08T12:30:23.430Z</t>
  </si>
  <si>
    <t>2026-02-08T12:34:06.923Z</t>
  </si>
  <si>
    <t>2026-02-08T12:34:13.336Z</t>
  </si>
  <si>
    <t>2026-02-08T12:34:16.948Z</t>
  </si>
  <si>
    <t>2026-02-08T12:37:46.395Z</t>
  </si>
  <si>
    <t>2026-02-08T12:37:48.360Z</t>
  </si>
  <si>
    <t>2026-02-08T12:41:33.290Z</t>
  </si>
  <si>
    <t>2026-02-08T12:41:41.268Z</t>
  </si>
  <si>
    <t>2026-02-08T12:45:01.394Z</t>
  </si>
  <si>
    <t>2026-02-08T12:45:16.527Z</t>
  </si>
  <si>
    <t>2026-02-08T12:45:27.569Z</t>
  </si>
  <si>
    <t>2026-02-08T12:45:28.044Z</t>
  </si>
  <si>
    <t>2026-02-08T12:46:20.273Z</t>
  </si>
  <si>
    <t>71474</t>
  </si>
  <si>
    <t>{"eventId":"71474"}</t>
  </si>
  <si>
    <t>2026-02-08T12:48:56.847Z</t>
  </si>
  <si>
    <t>2026-02-08T12:49:02.501Z</t>
  </si>
  <si>
    <t>2026-02-08T12:50:57.253Z</t>
  </si>
  <si>
    <t>103421</t>
  </si>
  <si>
    <t>{"eventId":"71474","classId":"103421","published":"1"}</t>
  </si>
  <si>
    <t>2026-02-08T12:51:04.234Z</t>
  </si>
  <si>
    <t>103401</t>
  </si>
  <si>
    <t>{"eventId":"71474","classId":"103401","published":"1"}</t>
  </si>
  <si>
    <t>2026-02-08T12:51:08.237Z</t>
  </si>
  <si>
    <t>103400</t>
  </si>
  <si>
    <t>{"eventId":"71474","classId":"103400","published":"1"}</t>
  </si>
  <si>
    <t>2026-02-08T12:52:44.230Z</t>
  </si>
  <si>
    <t>103420</t>
  </si>
  <si>
    <t>{"eventId":"71474","classId":"103420","published":"1"}</t>
  </si>
  <si>
    <t>2026-02-08T12:52:45.438Z</t>
  </si>
  <si>
    <t>2026-02-08T12:52:52.177Z</t>
  </si>
  <si>
    <t>2026-02-08T12:53:04.370Z</t>
  </si>
  <si>
    <t>103422</t>
  </si>
  <si>
    <t>{"eventId":"71474","classId":"103422","published":"1"}</t>
  </si>
  <si>
    <t>2026-02-08T12:54:52.133Z</t>
  </si>
  <si>
    <t>event_motadagskra_breytist</t>
  </si>
  <si>
    <t>2026-02-08T12:56:35.394Z</t>
  </si>
  <si>
    <t>2026-02-08T12:56:36.508Z</t>
  </si>
  <si>
    <t>2026-02-08T12:57:53.188Z</t>
  </si>
  <si>
    <t>2026-02-08T13:00:42.013Z</t>
  </si>
  <si>
    <t>2026-02-08T13:00:46.923Z</t>
  </si>
  <si>
    <t>2026-02-08T13:01:04.520Z</t>
  </si>
  <si>
    <t>2026-02-08T13:04:00.507Z</t>
  </si>
  <si>
    <t>2026-02-08T13:04:10.295Z</t>
  </si>
  <si>
    <t>2026-02-08T13:04:11.585Z</t>
  </si>
  <si>
    <t>2026-02-08T13:07:31.477Z</t>
  </si>
  <si>
    <t>2026-02-08T13:07:38.349Z</t>
  </si>
  <si>
    <t>2026-02-08T13:11:20.032Z</t>
  </si>
  <si>
    <t>2026-02-08T13:11:25.304Z</t>
  </si>
  <si>
    <t>2026-02-08T13:14:40.732Z</t>
  </si>
  <si>
    <t>2026-02-08T13:14:46.138Z</t>
  </si>
  <si>
    <t>2026-02-08T13:16:42.014Z</t>
  </si>
  <si>
    <t>2026-02-08T13:17:44.449Z</t>
  </si>
  <si>
    <t>2026-02-08T13:18:58.547Z</t>
  </si>
  <si>
    <t>2026-02-08T13:19:09.275Z</t>
  </si>
  <si>
    <t>2026-02-08T13:19:19.431Z</t>
  </si>
  <si>
    <t>2026-02-08T13:19:29.739Z</t>
  </si>
  <si>
    <t>2026-02-08T13:19:42.118Z</t>
  </si>
  <si>
    <t>2026-02-08T13:19:42.277Z</t>
  </si>
  <si>
    <t>2026-02-08T13:35:26.287Z</t>
  </si>
  <si>
    <t>{"eventId":"71274"}</t>
  </si>
  <si>
    <t>2026-02-08T13:37:35.921Z</t>
  </si>
  <si>
    <t>2026-02-08T13:38:49.063Z</t>
  </si>
  <si>
    <t>2026-02-08T13:38:58.346Z</t>
  </si>
  <si>
    <t>2026-02-08T13:39:03.850Z</t>
  </si>
  <si>
    <t>2026-02-08T13:42:22.684Z</t>
  </si>
  <si>
    <t>2026-02-08T13:42:32.920Z</t>
  </si>
  <si>
    <t>2026-02-08T13:42:40.292Z</t>
  </si>
  <si>
    <t>2026-02-08T13:45:55.762Z</t>
  </si>
  <si>
    <t>2026-02-08T13:46:08.251Z</t>
  </si>
  <si>
    <t>2026-02-08T13:46:09.498Z</t>
  </si>
  <si>
    <t>2026-02-08T13:49:29.546Z</t>
  </si>
  <si>
    <t>2026-02-08T13:49:42.260Z</t>
  </si>
  <si>
    <t>2026-02-08T13:49:42.377Z</t>
  </si>
  <si>
    <t>2026-02-08T13:52:53.084Z</t>
  </si>
  <si>
    <t>2026-02-08T13:52:55.241Z</t>
  </si>
  <si>
    <t>2026-02-08T13:53:19.286Z</t>
  </si>
  <si>
    <t>2026-02-08T13:55:09.299Z</t>
  </si>
  <si>
    <t>2026-02-08T13:56:35.924Z</t>
  </si>
  <si>
    <t>2026-02-08T13:56:37.230Z</t>
  </si>
  <si>
    <t>2026-02-08T14:00:31.914Z</t>
  </si>
  <si>
    <t>2026-02-08T14:00:43.449Z</t>
  </si>
  <si>
    <t>2026-02-08T14:04:05.764Z</t>
  </si>
  <si>
    <t>2026-02-08T14:04:08.579Z</t>
  </si>
  <si>
    <t>2026-02-08T14:04:11.894Z</t>
  </si>
  <si>
    <t>2026-02-08T14:07:14.527Z</t>
  </si>
  <si>
    <t>2026-02-08T14:07:18.145Z</t>
  </si>
  <si>
    <t>2026-02-08T14:10:59.223Z</t>
  </si>
  <si>
    <t>2026-02-08T14:11:00.342Z</t>
  </si>
  <si>
    <t>2026-02-08T14:15:09.429Z</t>
  </si>
  <si>
    <t>2026-02-08T14:15:19.971Z</t>
  </si>
  <si>
    <t>2026-02-08T14:15:22.214Z</t>
  </si>
  <si>
    <t>2026-02-08T14:18:33.470Z</t>
  </si>
  <si>
    <t>2026-02-08T14:18:39.485Z</t>
  </si>
  <si>
    <t>2026-02-08T14:22:22.205Z</t>
  </si>
  <si>
    <t>2026-02-08T14:22:27.210Z</t>
  </si>
  <si>
    <t>2026-02-08T14:26:00.656Z</t>
  </si>
  <si>
    <t>2026-02-08T14:26:03.236Z</t>
  </si>
  <si>
    <t>71414</t>
  </si>
  <si>
    <t>{"eventId":"71414"}</t>
  </si>
  <si>
    <t>2026-02-08T14:26:12.140Z</t>
  </si>
  <si>
    <t>2026-02-08T14:30:13.271Z</t>
  </si>
  <si>
    <t>2026-02-08T14:30:18.643Z</t>
  </si>
  <si>
    <t>2026-02-08T14:33:34.289Z</t>
  </si>
  <si>
    <t>2026-02-08T14:33:39.328Z</t>
  </si>
  <si>
    <t>2026-02-08T14:37:24.832Z</t>
  </si>
  <si>
    <t>2026-02-08T14:37:35.167Z</t>
  </si>
  <si>
    <t>2026-02-08T14:41:19.584Z</t>
  </si>
  <si>
    <t>2026-02-08T14:41:22.434Z</t>
  </si>
  <si>
    <t>2026-02-08T14:45:01.871Z</t>
  </si>
  <si>
    <t>2026-02-08T14:45:03.285Z</t>
  </si>
  <si>
    <t>2026-02-08T14:48:44.369Z</t>
  </si>
  <si>
    <t>2026-02-08T14:48:54.208Z</t>
  </si>
  <si>
    <t>2026-02-08T14:50:47.477Z</t>
  </si>
  <si>
    <t>event_keppnisgreinar</t>
  </si>
  <si>
    <t>2026-02-08T14:56:47.705Z</t>
  </si>
  <si>
    <t>2026-02-08T15:10:32.017Z</t>
  </si>
  <si>
    <t>2026-02-08T15:10:37.959Z</t>
  </si>
  <si>
    <t>2026-02-08T15:10:41.823Z</t>
  </si>
  <si>
    <t>2026-02-08T15:12:56.034Z</t>
  </si>
  <si>
    <t>2026-02-08T15:13:30.391Z</t>
  </si>
  <si>
    <t>2026-02-08T15:14:46.961Z</t>
  </si>
  <si>
    <t>2026-02-08T15:16:31.081Z</t>
  </si>
  <si>
    <t>2026-02-08T15:16:33.902Z</t>
  </si>
  <si>
    <t>2026-02-08T15:16:36.100Z</t>
  </si>
  <si>
    <t>2026-02-08T15:18:34.542Z</t>
  </si>
  <si>
    <t>2026-02-08T15:18:47.000Z</t>
  </si>
  <si>
    <t>2026-02-08T15:18:48.452Z</t>
  </si>
  <si>
    <t>2026-02-08T15:18:58.532Z</t>
  </si>
  <si>
    <t>2026-02-08T15:30:38.501Z</t>
  </si>
  <si>
    <t>{"eventId":"71274","classId":"103059","competitionId":"3"}</t>
  </si>
  <si>
    <t>2026-02-08T15:33:12.442Z</t>
  </si>
  <si>
    <t>2026-02-08T15:35:53.326Z</t>
  </si>
  <si>
    <t>2026-02-08T15:38:25.419Z</t>
  </si>
  <si>
    <t>2026-02-08T15:39:34.528Z</t>
  </si>
  <si>
    <t>event_mot_skra</t>
  </si>
  <si>
    <t>{"eventId":71195}</t>
  </si>
  <si>
    <t>2026-02-08T15:40:28.429Z</t>
  </si>
  <si>
    <t>71195</t>
  </si>
  <si>
    <t>{"eventId":"71195"}</t>
  </si>
  <si>
    <t>2026-02-08T15:40:40.421Z</t>
  </si>
  <si>
    <t>2026-02-08T15:41:01.985Z</t>
  </si>
  <si>
    <t>2026-02-08T15:41:40.473Z</t>
  </si>
  <si>
    <t>2026-02-08T15:42:23.003Z</t>
  </si>
  <si>
    <t>2026-02-08T15:47:02.488Z</t>
  </si>
  <si>
    <t>2026-02-08T15:47:12.577Z</t>
  </si>
  <si>
    <t>{"eventId":"71274","classId":"103059","competitionId":"2"}</t>
  </si>
  <si>
    <t>2026-02-08T15:49:51.452Z</t>
  </si>
  <si>
    <t>2026-02-08T15:52:54.809Z</t>
  </si>
  <si>
    <t>2026-02-08T15:55:19.481Z</t>
  </si>
  <si>
    <t>2026-02-08T15:56:54.027Z</t>
  </si>
  <si>
    <t>2026-02-08T15:57:42.371Z</t>
  </si>
  <si>
    <t>2026-02-13T17:03:30.238Z</t>
  </si>
  <si>
    <t>71374</t>
  </si>
  <si>
    <t>103201</t>
  </si>
  <si>
    <t>{"eventId":"71374","classId":"103201","published":"1"}</t>
  </si>
  <si>
    <t>2026-02-13T17:03:35.825Z</t>
  </si>
  <si>
    <t>2026-02-13T17:04:09.684Z</t>
  </si>
  <si>
    <t>103221</t>
  </si>
  <si>
    <t>{"eventId":"71374","classId":"103221","published":"1"}</t>
  </si>
  <si>
    <t>2026-02-13T17:05:47.777Z</t>
  </si>
  <si>
    <t>70774</t>
  </si>
  <si>
    <t>{"eventId":"70774"}</t>
  </si>
  <si>
    <t>2026-02-13T17:09:09.984Z</t>
  </si>
  <si>
    <t>2026-02-13T17:21:34.671Z</t>
  </si>
  <si>
    <t>2026-02-13T17:22:03.829Z</t>
  </si>
  <si>
    <t>2026-02-13T17:22:18.086Z</t>
  </si>
  <si>
    <t>2026-02-13T17:26:20.906Z</t>
  </si>
  <si>
    <t>70855</t>
  </si>
  <si>
    <t>103019</t>
  </si>
  <si>
    <t>{"eventId":"70855","classId":"103019","published":"1"}</t>
  </si>
  <si>
    <t>Carina Gustavsson</t>
  </si>
  <si>
    <t>Gyda Islandshäst Förening</t>
  </si>
  <si>
    <t>Svalur från Vindäng</t>
  </si>
  <si>
    <t>Adam</t>
  </si>
  <si>
    <t>CARINA GUSTAVSSON</t>
  </si>
  <si>
    <t>Lisa Morrison</t>
  </si>
  <si>
    <t>Nattfari Islandshästförening</t>
  </si>
  <si>
    <t>Hrafntinna från Ekudden</t>
  </si>
  <si>
    <t>LISA MORRISON</t>
  </si>
  <si>
    <t>Louise Adrianzon</t>
  </si>
  <si>
    <t>Mökkur Ryttarsällskap</t>
  </si>
  <si>
    <t>Limra fra Ny Nørregård</t>
  </si>
  <si>
    <t>LOUISE ADRIANZON</t>
  </si>
  <si>
    <t>Curt Nilsson</t>
  </si>
  <si>
    <t>Dóttir idrottsförening</t>
  </si>
  <si>
    <t>Aðmíráll från Kambo</t>
  </si>
  <si>
    <t>Brúnn/milli-blesótt</t>
  </si>
  <si>
    <t>CURT NILSSON</t>
  </si>
  <si>
    <t>Annica Glanshed</t>
  </si>
  <si>
    <t>Vallfari Islandshästförening</t>
  </si>
  <si>
    <t>Mýsla från Edeby Gård</t>
  </si>
  <si>
    <t>Móálóttur,mósóttur/milli-einlitt</t>
  </si>
  <si>
    <t>ANNICA GLANSHED</t>
  </si>
  <si>
    <t>keppandi_numer</t>
  </si>
  <si>
    <t>knapi_nafn</t>
  </si>
  <si>
    <t>hross_nafn</t>
  </si>
  <si>
    <t>hross_fulltnafn</t>
  </si>
  <si>
    <t>faedingarnumer</t>
  </si>
  <si>
    <t>knapi_adildarfelag</t>
  </si>
  <si>
    <t>eigandi_adildarfelag</t>
  </si>
  <si>
    <t>litur</t>
  </si>
  <si>
    <t>varaknapi_nafn</t>
  </si>
  <si>
    <t>varapar</t>
  </si>
  <si>
    <t>keppnisgreinar</t>
  </si>
  <si>
    <t>2026-02-06T20:54:45.015Z</t>
  </si>
  <si>
    <t>Anna Sigríður Erlendsdóttir</t>
  </si>
  <si>
    <t>Hlynur</t>
  </si>
  <si>
    <t>Hlynur frá Árbæjarhjáleigu II</t>
  </si>
  <si>
    <t>IS2018186756</t>
  </si>
  <si>
    <t xml:space="preserve">Brúnn/dökk/sv. einlitt  </t>
  </si>
  <si>
    <t>[{"flokksteg":"Gæðingaflokkur 1","hond":"H","keppni":"Forkeppni","keppnisgrein":"Gæðingatölt-unglingaflokkur","raslisti_birtur":0}]</t>
  </si>
  <si>
    <t>2026-02-06T20:54:45.025Z</t>
  </si>
  <si>
    <t>Arney Brynja Sveinbjörnsdóttir</t>
  </si>
  <si>
    <t>Gammur</t>
  </si>
  <si>
    <t>Gammur frá Hvolsvelli</t>
  </si>
  <si>
    <t>IS2003184977</t>
  </si>
  <si>
    <t xml:space="preserve">Rauður/milli- stjörnótt  </t>
  </si>
  <si>
    <t>[{"flokksteg":"Pollaflokkur","hond":"V","keppni":"1. sprettur","keppnisgrein":"Fimikeppni A","raslisti_birtur":0}]</t>
  </si>
  <si>
    <t>Aron Dyröy Guðmundsson</t>
  </si>
  <si>
    <t>Ísafold</t>
  </si>
  <si>
    <t>Ísafold frá Kirkjubæ</t>
  </si>
  <si>
    <t>IS2006286105</t>
  </si>
  <si>
    <t xml:space="preserve">Rauður/milli- blesótt  </t>
  </si>
  <si>
    <t>[{"flokksteg":"Gæðingaflokkur 1","hond":"V","keppni":"Forkeppni","keppnisgrein":"Gæðingatölt-unglingaflokkur","raslisti_birtur":0}]</t>
  </si>
  <si>
    <t>Aron Einar Ólafsson</t>
  </si>
  <si>
    <t>Fagur</t>
  </si>
  <si>
    <t>Fagur frá Akurprýði</t>
  </si>
  <si>
    <t>IS2012135097</t>
  </si>
  <si>
    <t xml:space="preserve">Brúnn/milli- einlitt  </t>
  </si>
  <si>
    <t>[{"flokksteg":"Gæðingaflokkur 1","hond":"V","keppni":"Forkeppni","keppnisgrein":"Gæðingatölt-barnaflokkur","raslisti_birtur":0}]</t>
  </si>
  <si>
    <t>Rún</t>
  </si>
  <si>
    <t>Rún frá Sumarliðabæ 2</t>
  </si>
  <si>
    <t>IS2019281511</t>
  </si>
  <si>
    <t xml:space="preserve">Jarpur/milli- einlitt  </t>
  </si>
  <si>
    <t>[{"flokksteg":"Gæðingaflokkur 1","hond":"H","keppni":"Forkeppni","keppnisgrein":"Gæðingatölt-barnaflokkur","raslisti_birtur":0}]</t>
  </si>
  <si>
    <t>Arthúr Nói Guðmundsson</t>
  </si>
  <si>
    <t>Húmfaxi</t>
  </si>
  <si>
    <t>Húmfaxi frá Skálakoti</t>
  </si>
  <si>
    <t>IS2016184160</t>
  </si>
  <si>
    <t xml:space="preserve">Grár/rauður einlitt  </t>
  </si>
  <si>
    <t>Benedikt Leví Sveinbjörnsson</t>
  </si>
  <si>
    <t>Eldur</t>
  </si>
  <si>
    <t>Eldur frá Hvolsvelli</t>
  </si>
  <si>
    <t>IS2017184978</t>
  </si>
  <si>
    <t xml:space="preserve">Rauður/milli- einlitt  </t>
  </si>
  <si>
    <t>[{"flokksteg":"Gæðingaflokkur 2","hond":"H","keppni":"Forkeppni","keppnisgrein":"Gæðingatölt-barnaflokkur","raslisti_birtur":0}]</t>
  </si>
  <si>
    <t>Bjartey Stefnisdóttir</t>
  </si>
  <si>
    <t>Kappi</t>
  </si>
  <si>
    <t>Kappi frá Skíðbakka I</t>
  </si>
  <si>
    <t>IS2005184367</t>
  </si>
  <si>
    <t xml:space="preserve">Moldóttur/gul-/m- einlitt  </t>
  </si>
  <si>
    <t>[{"flokksteg":"Pollaflokkur","hond":"H","keppni":"Forkeppni","keppnisgrein":"Pollatölt","raslisti_birtur":0}]</t>
  </si>
  <si>
    <t>Dagmar Daníelsdóttir</t>
  </si>
  <si>
    <t>Friðarrós</t>
  </si>
  <si>
    <t>Friðarrós frá Norðurey</t>
  </si>
  <si>
    <t>IS2019201875</t>
  </si>
  <si>
    <t>Dagur Stefnisson</t>
  </si>
  <si>
    <t>Emilía</t>
  </si>
  <si>
    <t>Emilía frá Feti</t>
  </si>
  <si>
    <t>IS2008286918</t>
  </si>
  <si>
    <t>Edda Sigurðardóttir</t>
  </si>
  <si>
    <t>Brúða</t>
  </si>
  <si>
    <t>Brúða frá Reykjavík</t>
  </si>
  <si>
    <t>IS2018225484</t>
  </si>
  <si>
    <t>[{"flokksteg":"Gæðingaflokkur 2","hond":"V","keppni":"Forkeppni","keppnisgrein":"Gæðingatölt-fullorðinsflokkur","raslisti_birtur":0}]</t>
  </si>
  <si>
    <t>Eldey Yrsa Sveinbjörnsdóttir</t>
  </si>
  <si>
    <t>Frosti</t>
  </si>
  <si>
    <t>Frosti frá Hvolsvelli</t>
  </si>
  <si>
    <t>IS2018184976</t>
  </si>
  <si>
    <t>Embla Dagmar Sigurþórsdóttir</t>
  </si>
  <si>
    <t>Mekka</t>
  </si>
  <si>
    <t>Mekka frá Grímsstöðum</t>
  </si>
  <si>
    <t>IS2001284598</t>
  </si>
  <si>
    <t xml:space="preserve">Brúnn/milli- stjörnótt  </t>
  </si>
  <si>
    <t>[{"flokksteg":"Gæðingaflokkur 2","hond":"V","keppni":"Forkeppni","keppnisgrein":"Gæðingatölt-barnaflokkur","raslisti_birtur":0}]</t>
  </si>
  <si>
    <t>Emilía Ösp Hjálmarsdóttir</t>
  </si>
  <si>
    <t>Djörf</t>
  </si>
  <si>
    <t>Djörf frá Búlandi</t>
  </si>
  <si>
    <t>IS2016284320</t>
  </si>
  <si>
    <t>Eva Hrönn Ásmundsdóttir</t>
  </si>
  <si>
    <t>Theódór</t>
  </si>
  <si>
    <t>Theódór frá Dalsholti</t>
  </si>
  <si>
    <t>IS2005101185</t>
  </si>
  <si>
    <t>Fríða Hansen</t>
  </si>
  <si>
    <t>Vargur</t>
  </si>
  <si>
    <t>Vargur frá Leirubakka</t>
  </si>
  <si>
    <t>IS2012186704</t>
  </si>
  <si>
    <t xml:space="preserve">Brúnn/milli- leistar(eingöngu)  </t>
  </si>
  <si>
    <t>[{"flokksteg":"Gæðingaflokkur 1","hond":"H","keppni":"Forkeppni","keppnisgrein":"Gæðingatölt-fullorðinsflokkur","raslisti_birtur":0}]</t>
  </si>
  <si>
    <t>Helgi Hrafn Sigvaldason</t>
  </si>
  <si>
    <t>Fagur frá Kvistum</t>
  </si>
  <si>
    <t>IS2014181966</t>
  </si>
  <si>
    <t>Hulda Vaka Gísladóttir</t>
  </si>
  <si>
    <t>Garún</t>
  </si>
  <si>
    <t>Garún frá Brúnum</t>
  </si>
  <si>
    <t>IS2009265299</t>
  </si>
  <si>
    <t>Háfeti</t>
  </si>
  <si>
    <t>[{"flokksteg":"Gæðingaflokkur 1","hond":"H","keppni":"Forkeppni","keppnisgrein":"Gæðingatölt-ungmennaflokkur","raslisti_birtur":0}]</t>
  </si>
  <si>
    <t>Kristín Birta Daníelsdóttir</t>
  </si>
  <si>
    <t>Illugi</t>
  </si>
  <si>
    <t>Illugi frá Miklaholti</t>
  </si>
  <si>
    <t>IS2016188500</t>
  </si>
  <si>
    <t xml:space="preserve">Brúnn/milli- skjótt  </t>
  </si>
  <si>
    <t>Lina Sofie Peter</t>
  </si>
  <si>
    <t>Aría</t>
  </si>
  <si>
    <t>Aría frá Leirubakka</t>
  </si>
  <si>
    <t>IS2019286705</t>
  </si>
  <si>
    <t>[{"flokksteg":"Gæðingaflokkur 2","hond":"H","keppni":"Forkeppni","keppnisgrein":"Gæðingatölt-fullorðinsflokkur","raslisti_birtur":0}]</t>
  </si>
  <si>
    <t>Lóa Dagmar Smáradóttir</t>
  </si>
  <si>
    <t>Mandala</t>
  </si>
  <si>
    <t>Mandala frá Breiðabólsstað</t>
  </si>
  <si>
    <t>IS2019235726</t>
  </si>
  <si>
    <t>Margrét Aþena Þorbjörnsdóttir</t>
  </si>
  <si>
    <t>Fröken</t>
  </si>
  <si>
    <t>Fröken frá Ásmúla</t>
  </si>
  <si>
    <t>IS2019286303</t>
  </si>
  <si>
    <t xml:space="preserve">  </t>
  </si>
  <si>
    <t>[{"flokksteg":"Pollaflokkur","hond":"V","keppni":"Forkeppni","keppnisgrein":"Pollatölt","raslisti_birtur":0}]</t>
  </si>
  <si>
    <t>2026-02-06T20:54:45.026Z</t>
  </si>
  <si>
    <t>Margrét Sóley Guðbergsdóttir</t>
  </si>
  <si>
    <t>Læna</t>
  </si>
  <si>
    <t>Læna frá Fitjarmýri</t>
  </si>
  <si>
    <t>IS2019284140</t>
  </si>
  <si>
    <t xml:space="preserve">Jarpur/milli- blesa auk leista eða sokka  </t>
  </si>
  <si>
    <t>Orri Arnarson</t>
  </si>
  <si>
    <t>Stallari</t>
  </si>
  <si>
    <t>Stallari frá Leirubakka</t>
  </si>
  <si>
    <t>IS2019186700</t>
  </si>
  <si>
    <t xml:space="preserve">Brúnn/mó- einlitt  </t>
  </si>
  <si>
    <t>Pia Rumpf</t>
  </si>
  <si>
    <t>Maístjarna</t>
  </si>
  <si>
    <t>Maístjarna frá Arnarhóli</t>
  </si>
  <si>
    <t>IS2019280582</t>
  </si>
  <si>
    <t xml:space="preserve">Jarpur/milli- stjörnótt  </t>
  </si>
  <si>
    <t>[{"flokksteg":"Gæðingaflokkur 1","hond":"V","keppni":"Forkeppni","keppnisgrein":"Gæðingatölt-fullorðinsflokkur","raslisti_birtur":0}]</t>
  </si>
  <si>
    <t>Ragnar Dagur Jóhannsson</t>
  </si>
  <si>
    <t>Stormur</t>
  </si>
  <si>
    <t>Stormur frá Pulu</t>
  </si>
  <si>
    <t>IS2019181604</t>
  </si>
  <si>
    <t>Salka Sigríður Sigurðardóttir</t>
  </si>
  <si>
    <t>Bjarmi</t>
  </si>
  <si>
    <t>Bjarmi frá Hrólfsstaðahelli</t>
  </si>
  <si>
    <t>IS2018186801</t>
  </si>
  <si>
    <t xml:space="preserve">Grár/óþekktur einlitt  </t>
  </si>
  <si>
    <t>Sigursteinn Ingi Jóhannsson</t>
  </si>
  <si>
    <t>Hrynjandi</t>
  </si>
  <si>
    <t>Hrynjandi frá Geysisholti</t>
  </si>
  <si>
    <t>IS2018101499</t>
  </si>
  <si>
    <t>Viktoría Rós Pierresdóttir</t>
  </si>
  <si>
    <t>Ýmir</t>
  </si>
  <si>
    <t>Ýmir frá Myrkholti</t>
  </si>
  <si>
    <t>IS2016188626</t>
  </si>
  <si>
    <t>2026-02-07T13:11:55.823Z</t>
  </si>
  <si>
    <t>Adalbjörg Sigurjónsdottir</t>
  </si>
  <si>
    <t>Mánadís</t>
  </si>
  <si>
    <t>Mánadís från Överön</t>
  </si>
  <si>
    <t>SE2018224025</t>
  </si>
  <si>
    <t>Gaedingur Islandshästförening</t>
  </si>
  <si>
    <t>[{"flokksteg":"Unglingaflokkur","hond":"V","keppni":"Forkeppni","keppnisgrein":"Tölt T8","raslisti_birtur":1},{"flokksteg":"Unglingaflokkur","hond":"V","keppni":"B úrslit","keppnisgrein":"Tölt T8","raslisti_birtur":1}]</t>
  </si>
  <si>
    <t>Agnes Larsson</t>
  </si>
  <si>
    <t>Albert</t>
  </si>
  <si>
    <t>Albert från Valne Gård</t>
  </si>
  <si>
    <t>SE2015170081</t>
  </si>
  <si>
    <t>Islandshästföreningen Glaumur</t>
  </si>
  <si>
    <t xml:space="preserve">Jarpur/milli- skjótt  </t>
  </si>
  <si>
    <t>[{"flokksteg":"Fullorðinsflokkur - 3. flokkur","hond":"V","keppni":"Forkeppni","keppnisgrein":"Tölt T8","raslisti_birtur":1}]</t>
  </si>
  <si>
    <t>Agneta Rolf</t>
  </si>
  <si>
    <t>Kristall</t>
  </si>
  <si>
    <t>Kristall frá Bjarnanesi</t>
  </si>
  <si>
    <t>IS2013177186</t>
  </si>
  <si>
    <t>Ryttargruppen Stormur</t>
  </si>
  <si>
    <t>[{"flokksteg":"Fullorðinsflokkur - Meistaraflokkur","hond":"V","keppni":"Forkeppni","keppnisgrein":"Tölt T8","raslisti_birtur":1},{"flokksteg":"Fullorðinsflokkur - Meistaraflokkur","hond":"V","keppni":"A úrslit","keppnisgrein":"Tölt T8","raslisti_birtur":1}]</t>
  </si>
  <si>
    <t>Alice Ljung</t>
  </si>
  <si>
    <t>Lokkur</t>
  </si>
  <si>
    <t>Lokkur från Seblads</t>
  </si>
  <si>
    <t>SE2017131900</t>
  </si>
  <si>
    <t>Gnýfari Islandshästförening</t>
  </si>
  <si>
    <t xml:space="preserve">Bleikur/álóttur skjótt  </t>
  </si>
  <si>
    <t>[{"flokksteg":"Unglingaflokkur","hond":"V","keppni":"Forkeppni","keppnisgrein":"Tölt T8","raslisti_birtur":1}]</t>
  </si>
  <si>
    <t>Alice Stattin</t>
  </si>
  <si>
    <t>Tvístjarna</t>
  </si>
  <si>
    <t>Tvístjarna frá Áskoti</t>
  </si>
  <si>
    <t>IS2017286514</t>
  </si>
  <si>
    <t xml:space="preserve">Rauður/milli- tvístjörnótt  </t>
  </si>
  <si>
    <t>[{"flokksteg":"Fullorðinsflokkur","hond":"H","keppni":"Forkeppni","keppnisgrein":"Tölt T3","raslisti_birtur":1},{"flokksteg":"Fullorðinsflokkur","hond":"V","keppni":"B úrslit","keppnisgrein":"Tölt T3","raslisti_birtur":1}]</t>
  </si>
  <si>
    <t>Alina Jungar</t>
  </si>
  <si>
    <t>Skorri</t>
  </si>
  <si>
    <t>Skorri från Stenholmen</t>
  </si>
  <si>
    <t>SE2012104154</t>
  </si>
  <si>
    <t>Örn Islandshästförening</t>
  </si>
  <si>
    <t xml:space="preserve">Móálóttur,mósóttur/milli- einlitt  </t>
  </si>
  <si>
    <t>[{"flokksteg":"Fullorðinsflokkur - 3. flokkur","hond":"V","keppni":"Forkeppni","keppnisgrein":"Tölt T8","raslisti_birtur":1},{"flokksteg":"Fullorðinsflokkur - 3. flokkur","hond":"V","keppni":"B úrslit","keppnisgrein":"Tölt T8","raslisti_birtur":1}]</t>
  </si>
  <si>
    <t>Aline Magnusson</t>
  </si>
  <si>
    <t>Valíant</t>
  </si>
  <si>
    <t>Valíant från Råken</t>
  </si>
  <si>
    <t>SE2014106227</t>
  </si>
  <si>
    <t>Alva Värmå</t>
  </si>
  <si>
    <t>Salka</t>
  </si>
  <si>
    <t>Salka von Semriach</t>
  </si>
  <si>
    <t>AT2008220920</t>
  </si>
  <si>
    <t>[{"flokksteg":"Fullorðinsflokkur - Meistaraflokkur","hond":"V","keppni":"Forkeppni","keppnisgrein":"Tölt T8","raslisti_birtur":1}]</t>
  </si>
  <si>
    <t>Amelie Hagberg</t>
  </si>
  <si>
    <t>Barmi</t>
  </si>
  <si>
    <t>Barmi frá Sölvholti</t>
  </si>
  <si>
    <t>IS2010187332</t>
  </si>
  <si>
    <t>Rickebasta Islandshästförening</t>
  </si>
  <si>
    <t>Andrea Stål</t>
  </si>
  <si>
    <t>Sproti</t>
  </si>
  <si>
    <t>Sproti frá Litla-Hofi</t>
  </si>
  <si>
    <t>IS2016177745</t>
  </si>
  <si>
    <t xml:space="preserve">Bleikur/fífil- einlitt  </t>
  </si>
  <si>
    <t>[{"flokksteg":"Fullorðinsflokkur","hond":"V","keppni":"Forkeppni","keppnisgrein":"Tölt T4","raslisti_birtur":1}]</t>
  </si>
  <si>
    <t>Anette Scheibe Lorentzi</t>
  </si>
  <si>
    <t>Dimma</t>
  </si>
  <si>
    <t>Dimma fra Hægbostad</t>
  </si>
  <si>
    <t>NO2014210241</t>
  </si>
  <si>
    <t>Eidfaxi Islandshästförening</t>
  </si>
  <si>
    <t>[{"flokksteg":"Fullorðinsflokkur - 3. flokkur","hond":"V","keppni":"A úrslit","keppnisgrein":"Tölt T8","raslisti_birtur":1},{"flokksteg":"Fullorðinsflokkur - 3. flokkur","hond":"V","keppni":"Forkeppni","keppnisgrein":"Tölt T8","raslisti_birtur":1}]</t>
  </si>
  <si>
    <t>Anna Gröschner</t>
  </si>
  <si>
    <t>Million</t>
  </si>
  <si>
    <t>Million från Fors Gård</t>
  </si>
  <si>
    <t>SE2015170020</t>
  </si>
  <si>
    <t xml:space="preserve">Rauður/milli- nösótt  </t>
  </si>
  <si>
    <t>[{"flokksteg":"Unglingaflokkur","hond":"V","keppni":"A úrslit","keppnisgrein":"Tölt T8","raslisti_birtur":1},{"flokksteg":"Unglingaflokkur","hond":"V","keppni":"Forkeppni","keppnisgrein":"Tölt T8","raslisti_birtur":1}]</t>
  </si>
  <si>
    <t>Annette Gabrielsson</t>
  </si>
  <si>
    <t>Grandi</t>
  </si>
  <si>
    <t>Grandi frá Lynghaga</t>
  </si>
  <si>
    <t>IS2014184970</t>
  </si>
  <si>
    <t>[{"flokksteg":"Fullorðinsflokkur - Meistaraflokkur","hond":"V","keppni":"Forkeppni","keppnisgrein":"Tölt T8","raslisti_birtur":1},{"flokksteg":"Fullorðinsflokkur - Meistaraflokkur","hond":"V","keppni":"C úrslit","keppnisgrein":"Tölt T8","raslisti_birtur":1}]</t>
  </si>
  <si>
    <t>Mýsla</t>
  </si>
  <si>
    <t>SE2018214009</t>
  </si>
  <si>
    <t>[{"flokksteg":"Fullorðinsflokkur - 3. flokkur","hond":"V","keppni":"C úrslit","keppnisgrein":"Tölt T8","raslisti_birtur":1},{"flokksteg":"Fullorðinsflokkur - 3. flokkur","hond":"V","keppni":"Forkeppni","keppnisgrein":"Tölt T8","raslisti_birtur":1},{"flokksteg":"Fullorðinsflokkur - 3. flokkur","hond":"V","keppni":"B úrslit","keppnisgrein":"Tölt T8","raslisti_birtur":1}]</t>
  </si>
  <si>
    <t>Ann-Kristin Pettersson</t>
  </si>
  <si>
    <t>Kelda</t>
  </si>
  <si>
    <t>Kelda från Segersgården</t>
  </si>
  <si>
    <t>SE2018211030</t>
  </si>
  <si>
    <t xml:space="preserve">Leirljós/Hvítur/milli- einlitt  </t>
  </si>
  <si>
    <t>Eldon</t>
  </si>
  <si>
    <t>Eldon frá Hákoti</t>
  </si>
  <si>
    <t>IS2009186435</t>
  </si>
  <si>
    <t>[{"flokksteg":"Fullorðinsflokkur","hond":"H","keppni":"Forkeppni","keppnisgrein":"Tölt T3","raslisti_birtur":1}]</t>
  </si>
  <si>
    <t>Axel von Gyllenpalm</t>
  </si>
  <si>
    <t>Atgeir</t>
  </si>
  <si>
    <t>Atgeir frá Narfastöðum</t>
  </si>
  <si>
    <t>IS2009158462</t>
  </si>
  <si>
    <t>Svalur</t>
  </si>
  <si>
    <t>SE2016134001</t>
  </si>
  <si>
    <t>[{"flokksteg":"Fullorðinsflokkur - 3. flokkur","hond":"V","keppni":"Forkeppni","keppnisgrein":"Tölt T8","raslisti_birtur":1},{"flokksteg":"Fullorðinsflokkur - 3. flokkur","hond":"V","keppni":"C úrslit","keppnisgrein":"Tölt T8","raslisti_birtur":1},{"flokksteg":"Fullorðinsflokkur - 3. flokkur","hond":"V","keppni":"B úrslit","keppnisgrein":"Tölt T8","raslisti_birtur":1}]</t>
  </si>
  <si>
    <t>Caroline Törnqvist</t>
  </si>
  <si>
    <t>Brynjar</t>
  </si>
  <si>
    <t>Brynjar från Stensäter</t>
  </si>
  <si>
    <t>SE2016107385</t>
  </si>
  <si>
    <t>Catharina Henning Söderbäck</t>
  </si>
  <si>
    <t>Kleópatra</t>
  </si>
  <si>
    <t>Kleópatra frá Björgum</t>
  </si>
  <si>
    <t>IS2014265441</t>
  </si>
  <si>
    <t xml:space="preserve">Jarpur/rauð- stjörnótt  </t>
  </si>
  <si>
    <t>[{"flokksteg":"Fullorðinsflokkur - Meistaraflokkur","hond":"V","keppni":"Forkeppni","keppnisgrein":"Tölt T8","raslisti_birtur":1},{"flokksteg":"Fullorðinsflokkur - Meistaraflokkur","hond":"V","keppni":"B úrslit","keppnisgrein":"Tölt T8","raslisti_birtur":1}]</t>
  </si>
  <si>
    <t>Cornelia Larsson</t>
  </si>
  <si>
    <t>Ósk</t>
  </si>
  <si>
    <t>Ósk från Stenbjar</t>
  </si>
  <si>
    <t>SE2011203407</t>
  </si>
  <si>
    <t>Odinns Islandshästklubb</t>
  </si>
  <si>
    <t xml:space="preserve">Brúnn/gló- stjörnótt  </t>
  </si>
  <si>
    <t>Aðmíráll</t>
  </si>
  <si>
    <t>SE2010103964</t>
  </si>
  <si>
    <t xml:space="preserve">Brúnn/milli- blesótt  </t>
  </si>
  <si>
    <t>[{"flokksteg":"Fullorðinsflokkur - 3. flokkur","hond":"V","keppni":"C úrslit","keppnisgrein":"Tölt T8","raslisti_birtur":1},{"flokksteg":"Fullorðinsflokkur - 3. flokkur","hond":"V","keppni":"Forkeppni","keppnisgrein":"Tölt T8","raslisti_birtur":1}]</t>
  </si>
  <si>
    <t>Elin Strandell</t>
  </si>
  <si>
    <t>Cesar</t>
  </si>
  <si>
    <t>Cesar från Slätterne</t>
  </si>
  <si>
    <t>SE2010102362</t>
  </si>
  <si>
    <t xml:space="preserve">Leirljós/Hvítur/milli- blesótt  </t>
  </si>
  <si>
    <t>Elina Jensen</t>
  </si>
  <si>
    <t>Kóngsvör</t>
  </si>
  <si>
    <t>Kóngsvör frá Flagveltu</t>
  </si>
  <si>
    <t>IS2015201006</t>
  </si>
  <si>
    <t>[{"flokksteg":"Fullorðinsflokkur","hond":"H","keppni":"Forkeppni","keppnisgrein":"Tölt T6","raslisti_birtur":1}]</t>
  </si>
  <si>
    <t>Elise Grandér</t>
  </si>
  <si>
    <t>Svalur från Jan Pers</t>
  </si>
  <si>
    <t>SE2009111018</t>
  </si>
  <si>
    <t>Ellen Alm</t>
  </si>
  <si>
    <t>Hlín</t>
  </si>
  <si>
    <t>Hlín från Westerlund</t>
  </si>
  <si>
    <t>SE2011203885</t>
  </si>
  <si>
    <t>Ellen Andwinge</t>
  </si>
  <si>
    <t>Tumi</t>
  </si>
  <si>
    <t>Tumi frá Efra - Holti</t>
  </si>
  <si>
    <t>IS2013156226</t>
  </si>
  <si>
    <t>Elsa Andrén</t>
  </si>
  <si>
    <t>Æsa</t>
  </si>
  <si>
    <t>Æsa från Bäsna</t>
  </si>
  <si>
    <t>SE2003202599</t>
  </si>
  <si>
    <t>Elsa Wengelin</t>
  </si>
  <si>
    <t>Bráinn</t>
  </si>
  <si>
    <t>Bráinn från Engelstoft</t>
  </si>
  <si>
    <t>SE2014106661</t>
  </si>
  <si>
    <t>[{"flokksteg":"Ungmennaflokkur","hond":"V","keppni":"Forkeppni","keppnisgrein":"Tölt T8","raslisti_birtur":1}]</t>
  </si>
  <si>
    <t>Elsie Granberg</t>
  </si>
  <si>
    <t>Herjólfur</t>
  </si>
  <si>
    <t>Herjólfur från Agersta</t>
  </si>
  <si>
    <t>SE2018113004</t>
  </si>
  <si>
    <t>Freyfaxi Islandshästklubb</t>
  </si>
  <si>
    <t>Embla Eriksson</t>
  </si>
  <si>
    <t>Týr</t>
  </si>
  <si>
    <t>Týr frá Hraunbæ</t>
  </si>
  <si>
    <t>IS2000185432</t>
  </si>
  <si>
    <t>Emelie Althén</t>
  </si>
  <si>
    <t>Barbara</t>
  </si>
  <si>
    <t>Barbara frá Björgum</t>
  </si>
  <si>
    <t>IS2019265446</t>
  </si>
  <si>
    <t>Áfram Islandshästförening</t>
  </si>
  <si>
    <t>emelie Nielsen</t>
  </si>
  <si>
    <t>Litla Fema</t>
  </si>
  <si>
    <t>Litla Fema från Rudet</t>
  </si>
  <si>
    <t>SE2010202577</t>
  </si>
  <si>
    <t>Emma Aurosell</t>
  </si>
  <si>
    <t>Tópas</t>
  </si>
  <si>
    <t>Tópas från Aurosell</t>
  </si>
  <si>
    <t>SE2020131013</t>
  </si>
  <si>
    <t>Emma Karlsson</t>
  </si>
  <si>
    <t>Klaki</t>
  </si>
  <si>
    <t>Klaki frá Draflastöðum</t>
  </si>
  <si>
    <t>IS2013165831</t>
  </si>
  <si>
    <t>Roslagens Islandshästförening Gladur</t>
  </si>
  <si>
    <t>[{"flokksteg":"Ungmennaflokkur","hond":"V","keppni":"Forkeppni","keppnisgrein":"Tölt T3","raslisti_birtur":1}]</t>
  </si>
  <si>
    <t>Esmeralda Cifuentes Peuravaara</t>
  </si>
  <si>
    <t>Freyr</t>
  </si>
  <si>
    <t>Freyr frá Skeiðvöllum</t>
  </si>
  <si>
    <t>IS2007186692</t>
  </si>
  <si>
    <t>Rauður/milli- einlitt glófext</t>
  </si>
  <si>
    <t>Eva Ekström</t>
  </si>
  <si>
    <t>Smári</t>
  </si>
  <si>
    <t>Smári från Ödegården</t>
  </si>
  <si>
    <t>SE2009110689</t>
  </si>
  <si>
    <t xml:space="preserve">Jarpur/korg- einlitt  </t>
  </si>
  <si>
    <t>Eva Qvam</t>
  </si>
  <si>
    <t>Glíma</t>
  </si>
  <si>
    <t>Glíma från Is</t>
  </si>
  <si>
    <t>SE2017211923</t>
  </si>
  <si>
    <t xml:space="preserve">Rauður/milli- skjótt  </t>
  </si>
  <si>
    <t>Evelina Ljung</t>
  </si>
  <si>
    <t>Felicia Af BurÉN</t>
  </si>
  <si>
    <t>Amor</t>
  </si>
  <si>
    <t>Amor frá Dallandi</t>
  </si>
  <si>
    <t>IS2005125113</t>
  </si>
  <si>
    <t>[{"flokksteg":"Fullorðinsflokkur","hond":"H","keppni":"Forkeppni","keppnisgrein":"Tölt T6","raslisti_birtur":1},{"flokksteg":"Fullorðinsflokkur","hond":"V","keppni":"A úrslit","keppnisgrein":"Tölt T6","raslisti_birtur":1}]</t>
  </si>
  <si>
    <t>Kolbeinn</t>
  </si>
  <si>
    <t>Kolbeinn frá Fornhaga II</t>
  </si>
  <si>
    <t>IS2011165880</t>
  </si>
  <si>
    <t>Felicia Reske</t>
  </si>
  <si>
    <t>Óratoría</t>
  </si>
  <si>
    <t>Óratoría frá Litlu-Sandvík</t>
  </si>
  <si>
    <t>IS2005287594</t>
  </si>
  <si>
    <t>Jarpur/milli- skjótt vagl í auga</t>
  </si>
  <si>
    <t>Filippa Stål</t>
  </si>
  <si>
    <t>Vaka</t>
  </si>
  <si>
    <t>Vaka från Trädgårdsnäset</t>
  </si>
  <si>
    <t>SE2017211915</t>
  </si>
  <si>
    <t>Freja Jähder</t>
  </si>
  <si>
    <t>Ylfa</t>
  </si>
  <si>
    <t>Ylfa frá Mosfellsbæ</t>
  </si>
  <si>
    <t>IS2014225941</t>
  </si>
  <si>
    <t xml:space="preserve">Grár/rauður blesótt  </t>
  </si>
  <si>
    <t>Freya Andersson</t>
  </si>
  <si>
    <t>Bingó</t>
  </si>
  <si>
    <t>Bingó från Himmelsrum</t>
  </si>
  <si>
    <t>SE2014106804</t>
  </si>
  <si>
    <t>Rauður/milli- blesótt glófext</t>
  </si>
  <si>
    <t>Gunilla Adrianzon</t>
  </si>
  <si>
    <t>Gnótt</t>
  </si>
  <si>
    <t>Gnótt frá Glæsibæ 2</t>
  </si>
  <si>
    <t>IS2006265415</t>
  </si>
  <si>
    <t>Hanna Kulla</t>
  </si>
  <si>
    <t>Grím</t>
  </si>
  <si>
    <t>Grím från Björkmuren</t>
  </si>
  <si>
    <t>SE2007107463</t>
  </si>
  <si>
    <t>[{"flokksteg":"Fullorðinsflokkur","hond":"H","keppni":"Forkeppni","keppnisgrein":"Tölt T4","raslisti_birtur":1}]</t>
  </si>
  <si>
    <t>Hannah Jarl</t>
  </si>
  <si>
    <t>Ísar</t>
  </si>
  <si>
    <t>Ísar frá Auðsholtshjáleigu</t>
  </si>
  <si>
    <t>IS2010187150</t>
  </si>
  <si>
    <t>Hedda Aurosell</t>
  </si>
  <si>
    <t>Bliki</t>
  </si>
  <si>
    <t>Bliki från Skarpäng</t>
  </si>
  <si>
    <t>SE2006106515</t>
  </si>
  <si>
    <t>[{"flokksteg":"Fullorðinsflokkur","hond":"V","keppni":"Forkeppni","keppnisgrein":"Tölt T6","raslisti_birtur":1}]</t>
  </si>
  <si>
    <t>Helga Westerlind</t>
  </si>
  <si>
    <t>Krafla</t>
  </si>
  <si>
    <t>Krafla frá Reykjavík</t>
  </si>
  <si>
    <t>IS2010225969</t>
  </si>
  <si>
    <t>Hilma Nielsen</t>
  </si>
  <si>
    <t>Von</t>
  </si>
  <si>
    <t>Von från Irsta</t>
  </si>
  <si>
    <t>SE2011203361</t>
  </si>
  <si>
    <t>Ida Nord</t>
  </si>
  <si>
    <t>Ess</t>
  </si>
  <si>
    <t>Ess från Sundabakka</t>
  </si>
  <si>
    <t>SE2015170426</t>
  </si>
  <si>
    <t>Inga-Lill Westberg</t>
  </si>
  <si>
    <t>Casanova</t>
  </si>
  <si>
    <t>Casanova från Bärby</t>
  </si>
  <si>
    <t>SE2015170486</t>
  </si>
  <si>
    <t>[{"flokksteg":"Fullorðinsflokkur - Meistaraflokkur","hond":"V","keppni":"B úrslit","keppnisgrein":"Tölt T8","raslisti_birtur":1},{"flokksteg":"Fullorðinsflokkur - Meistaraflokkur","hond":"V","keppni":"Forkeppni","keppnisgrein":"Tölt T8","raslisti_birtur":1}]</t>
  </si>
  <si>
    <t>Iris Hekla Brýnjarsdottir</t>
  </si>
  <si>
    <t>Ostra</t>
  </si>
  <si>
    <t>Ostra frá Syðri-Reykjum</t>
  </si>
  <si>
    <t>IS2003255510</t>
  </si>
  <si>
    <t>Isa Westerberg</t>
  </si>
  <si>
    <t>Hulda</t>
  </si>
  <si>
    <t>Hulda fra Kypergården</t>
  </si>
  <si>
    <t>DK2009200324</t>
  </si>
  <si>
    <t>Sleipnir Västmanlands Islandshästförening</t>
  </si>
  <si>
    <t>Isabell Lotfi</t>
  </si>
  <si>
    <t>Adam från Kval-avl</t>
  </si>
  <si>
    <t>SE2018114006</t>
  </si>
  <si>
    <t xml:space="preserve">Bleikur/fífil- blesótt  </t>
  </si>
  <si>
    <t>Isabella Kalén</t>
  </si>
  <si>
    <t>Birnir</t>
  </si>
  <si>
    <t>Birnir från Furåsa Apelgård</t>
  </si>
  <si>
    <t>SE2014106785</t>
  </si>
  <si>
    <t>Dís Islandshästförening</t>
  </si>
  <si>
    <t>Jannice Fehr</t>
  </si>
  <si>
    <t>Snarpur</t>
  </si>
  <si>
    <t>Snarpur från Grevelund</t>
  </si>
  <si>
    <t>SE2010102934</t>
  </si>
  <si>
    <t>[{"flokksteg":"Fullorðinsflokkur","hond":"V","keppni":"Forkeppni","keppnisgrein":"Tölt T3","raslisti_birtur":1}]</t>
  </si>
  <si>
    <t>Jennie Larsson</t>
  </si>
  <si>
    <t>Andvari</t>
  </si>
  <si>
    <t>Andvari von Nordsol</t>
  </si>
  <si>
    <t>AT2017104198</t>
  </si>
  <si>
    <t>Jennifer Johansson</t>
  </si>
  <si>
    <t>Fífill</t>
  </si>
  <si>
    <t>Fífill från Bärby</t>
  </si>
  <si>
    <t>SE2012104834</t>
  </si>
  <si>
    <t>Jessica Fästh Lundman</t>
  </si>
  <si>
    <t>Sýn</t>
  </si>
  <si>
    <t>Sýn från Kolforsen</t>
  </si>
  <si>
    <t>SE2018231004</t>
  </si>
  <si>
    <t>Johanna Hinrichsen</t>
  </si>
  <si>
    <t>Gjöf</t>
  </si>
  <si>
    <t>Gjöf frá Hléskógum</t>
  </si>
  <si>
    <t>IS2016266141</t>
  </si>
  <si>
    <t>Leirljós/Hvítur/dökk- blesótt glófext</t>
  </si>
  <si>
    <t>Karin Glasemann</t>
  </si>
  <si>
    <t>Bestla</t>
  </si>
  <si>
    <t>Bestla från Hvidagården</t>
  </si>
  <si>
    <t>SE2019215026</t>
  </si>
  <si>
    <t xml:space="preserve">Vindóttur/mó einlitt  </t>
  </si>
  <si>
    <t>Kelly Eriksson</t>
  </si>
  <si>
    <t>Huginn</t>
  </si>
  <si>
    <t>Huginn frá Halakoti</t>
  </si>
  <si>
    <t>IS2016182461</t>
  </si>
  <si>
    <t>[{"flokksteg":"Fullorðinsflokkur","hond":"V","keppni":"Forkeppni","keppnisgrein":"Tölt T3","raslisti_birtur":1},{"flokksteg":"Fullorðinsflokkur","hond":"V","keppni":"A úrslit","keppnisgrein":"Tölt T3","raslisti_birtur":1}]</t>
  </si>
  <si>
    <t>Kicki Westerberg</t>
  </si>
  <si>
    <t>Reimar</t>
  </si>
  <si>
    <t>Reimar från Stensäter</t>
  </si>
  <si>
    <t>SE2006106730</t>
  </si>
  <si>
    <t>[{"flokksteg":"Fullorðinsflokkur","hond":"V","keppni":"Forkeppni","keppnisgrein":"Tölt T3","raslisti_birtur":1},{"flokksteg":"Fullorðinsflokkur","hond":"V","keppni":"B úrslit","keppnisgrein":"Tölt T3","raslisti_birtur":1}]</t>
  </si>
  <si>
    <t>Leah Fehr</t>
  </si>
  <si>
    <t>Elji</t>
  </si>
  <si>
    <t>Elji frá Gauksmýri</t>
  </si>
  <si>
    <t>IS2009155502</t>
  </si>
  <si>
    <t>Edeby Hestamannasällskap</t>
  </si>
  <si>
    <t xml:space="preserve">Rauður/milli- leistar(eingöngu)  </t>
  </si>
  <si>
    <t>Leia Wrande</t>
  </si>
  <si>
    <t>Máni</t>
  </si>
  <si>
    <t>Máni från Rangsborg</t>
  </si>
  <si>
    <t>SE2021113006</t>
  </si>
  <si>
    <t>Orka</t>
  </si>
  <si>
    <t>Orka frá Ólafsvöllum</t>
  </si>
  <si>
    <t>IS2013287860</t>
  </si>
  <si>
    <t>Lena Blom</t>
  </si>
  <si>
    <t>Alfa</t>
  </si>
  <si>
    <t>Alfa från Nötbacken</t>
  </si>
  <si>
    <t>SE2010202494</t>
  </si>
  <si>
    <t>Lilja Dis Erlingsdottir Hardwick</t>
  </si>
  <si>
    <t>Dís</t>
  </si>
  <si>
    <t>Dís frá Jaðri</t>
  </si>
  <si>
    <t>IS2004288337</t>
  </si>
  <si>
    <t>Lily Karttunen Käll</t>
  </si>
  <si>
    <t>Sindri</t>
  </si>
  <si>
    <t>Sindri frá Vallanesi</t>
  </si>
  <si>
    <t>IS2002157570</t>
  </si>
  <si>
    <t>Linnea Einarsson</t>
  </si>
  <si>
    <t>Espólín</t>
  </si>
  <si>
    <t>Espólín från Allemansängen</t>
  </si>
  <si>
    <t>SE2017129903</t>
  </si>
  <si>
    <t xml:space="preserve">Bleikur/fífil- stjörnótt  </t>
  </si>
  <si>
    <t>[{"flokksteg":"Fullorðinsflokkur","hond":"V","keppni":"A úrslit","keppnisgrein":"Tölt T3","raslisti_birtur":1},{"flokksteg":"Fullorðinsflokkur","hond":"V","keppni":"Forkeppni","keppnisgrein":"Tölt T3","raslisti_birtur":1}]</t>
  </si>
  <si>
    <t>Linnea Jonsson</t>
  </si>
  <si>
    <t>Viktor</t>
  </si>
  <si>
    <t>Viktor frá Björgum</t>
  </si>
  <si>
    <t>IS2014165448</t>
  </si>
  <si>
    <t xml:space="preserve">Bleikur/ál/kol. einlitt  </t>
  </si>
  <si>
    <t>Iðunn</t>
  </si>
  <si>
    <t>Iðunn från Eskesta</t>
  </si>
  <si>
    <t>SE2013205617</t>
  </si>
  <si>
    <t xml:space="preserve">Bleikur/álóttur einlitt  </t>
  </si>
  <si>
    <t>Hrafntinna</t>
  </si>
  <si>
    <t>SE2017213915</t>
  </si>
  <si>
    <t>[{"flokksteg":"Fullorðinsflokkur - 3. flokkur","hond":"V","keppni":"Forkeppni","keppnisgrein":"Tölt T8","raslisti_birtur":1},{"flokksteg":"Fullorðinsflokkur - 3. flokkur","hond":"V","keppni":"C úrslit","keppnisgrein":"Tölt T8","raslisti_birtur":1}]</t>
  </si>
  <si>
    <t>Liselotte Ebe Tjernberg</t>
  </si>
  <si>
    <t>Lucifer</t>
  </si>
  <si>
    <t>Lucifer från HagaNäs</t>
  </si>
  <si>
    <t>SE2011103156</t>
  </si>
  <si>
    <t>Limra</t>
  </si>
  <si>
    <t>DK2010200089</t>
  </si>
  <si>
    <t>Louise Östlund</t>
  </si>
  <si>
    <t>Sandur</t>
  </si>
  <si>
    <t>Sandur frá Horni I</t>
  </si>
  <si>
    <t>IS2016177271</t>
  </si>
  <si>
    <t>Lynn Fält</t>
  </si>
  <si>
    <t>Samson</t>
  </si>
  <si>
    <t>Samson från Tenglagården</t>
  </si>
  <si>
    <t>SE2012104100</t>
  </si>
  <si>
    <t>[{"flokksteg":"Fullorðinsflokkur","hond":"V","keppni":"A úrslit","keppnisgrein":"Tölt T6","raslisti_birtur":1},{"flokksteg":"Fullorðinsflokkur","hond":"H","keppni":"Forkeppni","keppnisgrein":"Tölt T6","raslisti_birtur":1}]</t>
  </si>
  <si>
    <t>Madeleine Andersson</t>
  </si>
  <si>
    <t>Mimir</t>
  </si>
  <si>
    <t>Mimir från Martisgården</t>
  </si>
  <si>
    <t>SE2004103671</t>
  </si>
  <si>
    <t>Madeleine Norstedt</t>
  </si>
  <si>
    <t>Medúsa</t>
  </si>
  <si>
    <t>Medúsa från Lissel</t>
  </si>
  <si>
    <t>SE2014230999</t>
  </si>
  <si>
    <t>Magnús Sigurdsson Ringsted</t>
  </si>
  <si>
    <t>Tvistur</t>
  </si>
  <si>
    <t>Tvistur frá Höskuldsstöðum</t>
  </si>
  <si>
    <t>IS2014165220</t>
  </si>
  <si>
    <t xml:space="preserve">Móálóttur,mósóttur/milli- skjótt  </t>
  </si>
  <si>
    <t>Maja Malm</t>
  </si>
  <si>
    <t>Jarl</t>
  </si>
  <si>
    <t>Jarl från Slätterne</t>
  </si>
  <si>
    <t>SE2018131002</t>
  </si>
  <si>
    <t>Malin Brännlund</t>
  </si>
  <si>
    <t>Týri</t>
  </si>
  <si>
    <t>Týri från Lindnäs</t>
  </si>
  <si>
    <t>SE2006106451</t>
  </si>
  <si>
    <t>Malin Sjölander</t>
  </si>
  <si>
    <t>Jónína</t>
  </si>
  <si>
    <t>Jónína frá Tvennu</t>
  </si>
  <si>
    <t>IS2016201232</t>
  </si>
  <si>
    <t>Rauður/milli- blesótt vindhært (grásprengt) í fax eða tagl</t>
  </si>
  <si>
    <t>Dalur</t>
  </si>
  <si>
    <t>Dalur frá Dalbæ</t>
  </si>
  <si>
    <t>IS2012187721</t>
  </si>
  <si>
    <t>Mari Schaub</t>
  </si>
  <si>
    <t>Myrkvi</t>
  </si>
  <si>
    <t>Myrkvi frá Efsta-Seli</t>
  </si>
  <si>
    <t>IS2014186644</t>
  </si>
  <si>
    <t>Maria Sundberg</t>
  </si>
  <si>
    <t>Röskva</t>
  </si>
  <si>
    <t>Röskva från Gibraltar</t>
  </si>
  <si>
    <t>SE2010201779</t>
  </si>
  <si>
    <t xml:space="preserve">Bleikur/fífil- skjótt  </t>
  </si>
  <si>
    <t>[{"flokksteg":"Fullorðinsflokkur","hond":"V","keppni":"Forkeppni","keppnisgrein":"Tölt T6","raslisti_birtur":1},{"flokksteg":"Fullorðinsflokkur","hond":"V","keppni":"A úrslit","keppnisgrein":"Tölt T6","raslisti_birtur":1}]</t>
  </si>
  <si>
    <t>Marie Wrande</t>
  </si>
  <si>
    <t>Skjálfti</t>
  </si>
  <si>
    <t>Skjálfti frá Langholti</t>
  </si>
  <si>
    <t>IS2008181136</t>
  </si>
  <si>
    <t>[{"flokksteg":"Fullorðinsflokkur - Meistaraflokkur","hond":"V","keppni":"A úrslit","keppnisgrein":"Tölt T8","raslisti_birtur":1},{"flokksteg":"Fullorðinsflokkur - Meistaraflokkur","hond":"V","keppni":"Forkeppni","keppnisgrein":"Tölt T8","raslisti_birtur":1}]</t>
  </si>
  <si>
    <t>Matilda Rolf</t>
  </si>
  <si>
    <t>Leistur</t>
  </si>
  <si>
    <t>Leistur från Toftinge</t>
  </si>
  <si>
    <t>SE2009110571</t>
  </si>
  <si>
    <t xml:space="preserve">Brúnn/milli- blesa auk leista eða sokka  </t>
  </si>
  <si>
    <t>Eldrún</t>
  </si>
  <si>
    <t>Eldrún frá Háholti</t>
  </si>
  <si>
    <t>IS2016288029</t>
  </si>
  <si>
    <t xml:space="preserve">Rauður/ljós- einlitt  </t>
  </si>
  <si>
    <t>Maya Jönsson</t>
  </si>
  <si>
    <t>Vítnir</t>
  </si>
  <si>
    <t>Vítnir från Fors Gård</t>
  </si>
  <si>
    <t>SE2007107045</t>
  </si>
  <si>
    <t xml:space="preserve">Bleikur/álóttur stjörnótt  </t>
  </si>
  <si>
    <t>Michaela Pettersson Fehr</t>
  </si>
  <si>
    <t>Orri</t>
  </si>
  <si>
    <t>Orri fra Kringeland</t>
  </si>
  <si>
    <t>NO2019104262</t>
  </si>
  <si>
    <t>Mikaela Knutzon</t>
  </si>
  <si>
    <t>Nasi</t>
  </si>
  <si>
    <t>Nasi frá Bergi</t>
  </si>
  <si>
    <t>IS2015137487</t>
  </si>
  <si>
    <t>Brúnn/milli- tvístjörnótt glófext og vagl í auga</t>
  </si>
  <si>
    <t>Mikaela Zackrisson</t>
  </si>
  <si>
    <t>Ljómi</t>
  </si>
  <si>
    <t>Ljómi frá Narfastöðum</t>
  </si>
  <si>
    <t>IS2015158465</t>
  </si>
  <si>
    <t>Milla Nord</t>
  </si>
  <si>
    <t>Einir</t>
  </si>
  <si>
    <t>Einir från Tulka</t>
  </si>
  <si>
    <t>SE2009110267</t>
  </si>
  <si>
    <t>Frenja</t>
  </si>
  <si>
    <t>Frenja från Tyståkragård</t>
  </si>
  <si>
    <t>SE2017211908</t>
  </si>
  <si>
    <t xml:space="preserve">Grár/vindóttur einlitt  </t>
  </si>
  <si>
    <t>Mindy von Berlepsch</t>
  </si>
  <si>
    <t>Naðra</t>
  </si>
  <si>
    <t>Naðra från Berlepsch</t>
  </si>
  <si>
    <t>SE2015270211</t>
  </si>
  <si>
    <t>Minneah Forsberg Lagerqvist</t>
  </si>
  <si>
    <t>Gangster</t>
  </si>
  <si>
    <t>Gangster frá Auðsholtshjáleigu</t>
  </si>
  <si>
    <t>IS2011187016</t>
  </si>
  <si>
    <t>Nathalie Wallgren</t>
  </si>
  <si>
    <t>Fjári</t>
  </si>
  <si>
    <t>Fjári från Ellne</t>
  </si>
  <si>
    <t>SE2017131890</t>
  </si>
  <si>
    <t>Nellie Gabrielsson</t>
  </si>
  <si>
    <t>Hilda</t>
  </si>
  <si>
    <t>Hilda från Åkerskogen</t>
  </si>
  <si>
    <t>SE2020230001</t>
  </si>
  <si>
    <t>EDDA Islandshästförening</t>
  </si>
  <si>
    <t>Nellie Sundell</t>
  </si>
  <si>
    <t>Freymóður</t>
  </si>
  <si>
    <t>Freymóður frá Vestra-Geldingaholti</t>
  </si>
  <si>
    <t>IS2010188035</t>
  </si>
  <si>
    <t>Nicolina Marklund</t>
  </si>
  <si>
    <t>Hrímnir</t>
  </si>
  <si>
    <t>Hrímnir frá Vatnsleysu</t>
  </si>
  <si>
    <t>IS2012158518</t>
  </si>
  <si>
    <t>[{"flokksteg":"Fullorðinsflokkur","hond":"H","keppni":"Forkeppni","keppnisgrein":"Tölt T3","raslisti_birtur":1},{"flokksteg":"Fullorðinsflokkur","hond":"V","keppni":"A úrslit","keppnisgrein":"Tölt T3","raslisti_birtur":1}]</t>
  </si>
  <si>
    <t>Olivia Af BurÉN</t>
  </si>
  <si>
    <t>Faxi</t>
  </si>
  <si>
    <t>Faxi från Vangi</t>
  </si>
  <si>
    <t>SE2008109029</t>
  </si>
  <si>
    <t>Olivia Agerhill</t>
  </si>
  <si>
    <t>Vera</t>
  </si>
  <si>
    <t>Vera från Agersta</t>
  </si>
  <si>
    <t>SE2016270814</t>
  </si>
  <si>
    <t>Rebecca Sandor</t>
  </si>
  <si>
    <t>Freyr från Smara 1</t>
  </si>
  <si>
    <t>SE2011103514</t>
  </si>
  <si>
    <t xml:space="preserve">Vindóttur/jarp- einlitt  </t>
  </si>
  <si>
    <t>Saga Brännlund</t>
  </si>
  <si>
    <t>Stjarna</t>
  </si>
  <si>
    <t>Stjarna frá Ysta-Gerði</t>
  </si>
  <si>
    <t>IS2017265736</t>
  </si>
  <si>
    <t>[{"flokksteg":"Fullorðinsflokkur - 3. flokkur","hond":"V","keppni":"Forkeppni","keppnisgrein":"Tölt T8","raslisti_birtur":1},{"flokksteg":"Fullorðinsflokkur - 3. flokkur","hond":"V","keppni":"A úrslit","keppnisgrein":"Tölt T8","raslisti_birtur":1}]</t>
  </si>
  <si>
    <t>Sandra Hagman</t>
  </si>
  <si>
    <t>Hrynjandi från Lilla Sträckås</t>
  </si>
  <si>
    <t>SE2016170769</t>
  </si>
  <si>
    <t>Sara Anckarsvärd</t>
  </si>
  <si>
    <t>Hektor</t>
  </si>
  <si>
    <t>Hektor från Valne Gård</t>
  </si>
  <si>
    <t>SE2016170566</t>
  </si>
  <si>
    <t>Sara Gripensvärd</t>
  </si>
  <si>
    <t>Noi</t>
  </si>
  <si>
    <t>Noi från Brösarpsgården</t>
  </si>
  <si>
    <t>SE2009110615</t>
  </si>
  <si>
    <t>[{"flokksteg":"Fullorðinsflokkur","hond":"V","keppni":"A úrslit","keppnisgrein":"Tölt T3","raslisti_birtur":1},{"flokksteg":"Fullorðinsflokkur","hond":"H","keppni":"Forkeppni","keppnisgrein":"Tölt T3","raslisti_birtur":1}]</t>
  </si>
  <si>
    <t>Sara Mangsbo</t>
  </si>
  <si>
    <t>Drottning</t>
  </si>
  <si>
    <t>Drottning frá Sælukoti</t>
  </si>
  <si>
    <t>IS2017286856</t>
  </si>
  <si>
    <t xml:space="preserve">Jarpur/dökk- stjörnótt  </t>
  </si>
  <si>
    <t>Sarah Jarl</t>
  </si>
  <si>
    <t>Gígjar</t>
  </si>
  <si>
    <t>Gígjar från Åsbogården</t>
  </si>
  <si>
    <t>SE2015170336</t>
  </si>
  <si>
    <t>Sigurjon Einarsson</t>
  </si>
  <si>
    <t>Atli</t>
  </si>
  <si>
    <t>Atli från Stormyra</t>
  </si>
  <si>
    <t>SE2017131899</t>
  </si>
  <si>
    <t>Sofi Svartlinger</t>
  </si>
  <si>
    <t>Framfari</t>
  </si>
  <si>
    <t>Framfari fra Midtlund</t>
  </si>
  <si>
    <t>NO2015104141</t>
  </si>
  <si>
    <t>Sofia Malm Persson</t>
  </si>
  <si>
    <t>Védís</t>
  </si>
  <si>
    <t>Védís frá Hafnarfirði</t>
  </si>
  <si>
    <t>IS2016225520</t>
  </si>
  <si>
    <t>Sofia von Witting</t>
  </si>
  <si>
    <t>Vorboði</t>
  </si>
  <si>
    <t>Vorboði från Krångegård</t>
  </si>
  <si>
    <t>SE2019132005</t>
  </si>
  <si>
    <t xml:space="preserve">Grár/brúnn einlitt  </t>
  </si>
  <si>
    <t>Sofie Keijser</t>
  </si>
  <si>
    <t>Bangsi</t>
  </si>
  <si>
    <t>Bangsi från Viby</t>
  </si>
  <si>
    <t>SE2016170740</t>
  </si>
  <si>
    <t>Sonnie Eklund</t>
  </si>
  <si>
    <t>Hrímur</t>
  </si>
  <si>
    <t>Hrímur från Östra Greda</t>
  </si>
  <si>
    <t>SE2007108767</t>
  </si>
  <si>
    <t>Rauður/milli- blesa auk leista eða sokka glófext</t>
  </si>
  <si>
    <t>[{"flokksteg":"Fullorðinsflokkur","hond":"V","keppni":"B úrslit","keppnisgrein":"Tölt T3","raslisti_birtur":1},{"flokksteg":"Fullorðinsflokkur","hond":"H","keppni":"Forkeppni","keppnisgrein":"Tölt T3","raslisti_birtur":1}]</t>
  </si>
  <si>
    <t>Susanna Zdolsek</t>
  </si>
  <si>
    <t>Glói</t>
  </si>
  <si>
    <t>Glói fra Smaagaard</t>
  </si>
  <si>
    <t>DK2016100074</t>
  </si>
  <si>
    <t>Islandshästföreningen Strokkur</t>
  </si>
  <si>
    <t>[{"flokksteg":"Fullorðinsflokkur","hond":"V","keppni":"A úrslit","keppnisgrein":"Tölt T6","raslisti_birtur":1},{"flokksteg":"Fullorðinsflokkur","hond":"V","keppni":"Forkeppni","keppnisgrein":"Tölt T6","raslisti_birtur":1}]</t>
  </si>
  <si>
    <t>Tindra Brennicke</t>
  </si>
  <si>
    <t>Vísir</t>
  </si>
  <si>
    <t>Vísir från Bromma Gård</t>
  </si>
  <si>
    <t>SE2016170765</t>
  </si>
  <si>
    <t>Tyra Värmå</t>
  </si>
  <si>
    <t>Bráinn från Hvidagården</t>
  </si>
  <si>
    <t>SE2012105038</t>
  </si>
  <si>
    <t xml:space="preserve">Leirljós/Hvítur/milli- nösótt  </t>
  </si>
  <si>
    <t>Vanessa Manninen</t>
  </si>
  <si>
    <t>Drafna</t>
  </si>
  <si>
    <t>Drafna fra Hægbostad</t>
  </si>
  <si>
    <t>NO2016210234</t>
  </si>
  <si>
    <t>Viktoria Flachsbinder</t>
  </si>
  <si>
    <t>Óskasteinn</t>
  </si>
  <si>
    <t>Óskasteinn från Lykkelyckas</t>
  </si>
  <si>
    <t>SE2020111024</t>
  </si>
  <si>
    <t>Vilda Svartberg</t>
  </si>
  <si>
    <t>Magni</t>
  </si>
  <si>
    <t>Magni frá Höfðabakka</t>
  </si>
  <si>
    <t>IS2008155354</t>
  </si>
  <si>
    <t>[{"flokksteg":"Fullorðinsflokkur - Meistaraflokkur","hond":"V","keppni":"C úrslit","keppnisgrein":"Tölt T8","raslisti_birtur":1},{"flokksteg":"Fullorðinsflokkur - Meistaraflokkur","hond":"V","keppni":"Forkeppni","keppnisgrein":"Tölt T8","raslisti_birtur":1}]</t>
  </si>
  <si>
    <t>Wictoria Gren</t>
  </si>
  <si>
    <t>Álfur</t>
  </si>
  <si>
    <t>Álfur från Skogstjärnan</t>
  </si>
  <si>
    <t>SE2008109310</t>
  </si>
  <si>
    <t xml:space="preserve">Brúnn/gló- einlitt  </t>
  </si>
  <si>
    <t>2026-02-07T13:12:07.874Z</t>
  </si>
  <si>
    <t>[{"flokksteg":"Fullorðinsflokkur - 3. flokkur","hond":"V","keppni":"C úrslit","keppnisgrein":"Tölt T8","raslisti_birtur":1},{"flokksteg":"Fullorðinsflokkur - 3. flokkur","hond":"V","keppni":"B úrslit","keppnisgrein":"Tölt T8","raslisti_birtur":1},{"flokksteg":"Fullorðinsflokkur - 3. flokkur","hond":"V","keppni":"Forkeppni","keppnisgrein":"Tölt T8","raslisti_birtur":1}]</t>
  </si>
  <si>
    <t>2026-02-07T13:12:36.455Z</t>
  </si>
  <si>
    <t>2026-02-07T13:26:02.946Z</t>
  </si>
  <si>
    <t>Auður Karen Auðbjörnsdóttir</t>
  </si>
  <si>
    <t>Bára</t>
  </si>
  <si>
    <t>Bára frá Gásum</t>
  </si>
  <si>
    <t>IS2016264013</t>
  </si>
  <si>
    <t>Léttir</t>
  </si>
  <si>
    <t>[{"flokksteg":"Fullorðinsflokkur - Meistaraflokkur","hond":"H","keppni":"Forkeppni","keppnisgrein":"Fjórgangur V1","raslisti_birtur":0}]</t>
  </si>
  <si>
    <t>Magnús Bragi Magnússon</t>
  </si>
  <si>
    <t>Leistur frá Íbishóli</t>
  </si>
  <si>
    <t>IS2017157688</t>
  </si>
  <si>
    <t>Skagfirðingur</t>
  </si>
  <si>
    <t xml:space="preserve">Jarpur/dökk- leistar(eingöngu)  </t>
  </si>
  <si>
    <t>2026-02-07T13:26:52.976Z</t>
  </si>
  <si>
    <t>Clara Riesenfeld Rosén</t>
  </si>
  <si>
    <t>Dimma fra Splidholm</t>
  </si>
  <si>
    <t>DK2007204214</t>
  </si>
  <si>
    <t>[{"flokksteg":"Unglingaflokkur","hond":"H","keppni":"Forkeppni","keppnisgrein":"Fimmgangur F1","raslisti_birtur":1},{"flokksteg":"Unglingaflokkur","hond":"V","keppni":"Forkeppni","keppnisgrein":"Tölt T8","raslisti_birtur":1}]</t>
  </si>
  <si>
    <t>Edda Helisten</t>
  </si>
  <si>
    <t>Rúnar</t>
  </si>
  <si>
    <t>Rúnar från Forsen</t>
  </si>
  <si>
    <t>SE2011103351</t>
  </si>
  <si>
    <t>[{"flokksteg":"Unglingaflokkur","hond":"V","keppni":"Forkeppni","keppnisgrein":"Fjórgangur V5","raslisti_birtur":1},{"flokksteg":"Unglingaflokkur","hond":"V","keppni":"Forkeppni","keppnisgrein":"Tölt T8","raslisti_birtur":1}]</t>
  </si>
  <si>
    <t>Elin Sundström</t>
  </si>
  <si>
    <t>Lýsingur</t>
  </si>
  <si>
    <t>Lýsingur från Lilla Österbo</t>
  </si>
  <si>
    <t>SE2009110820</t>
  </si>
  <si>
    <t xml:space="preserve">Leirljós/Hvítur/Hvítingi einlitt  </t>
  </si>
  <si>
    <t>[{"flokksteg":"Fullorðinsflokkur","hond":"H","keppni":"Forkeppni","keppnisgrein":"Tölt T8","raslisti_birtur":0},{"flokksteg":"Fullorðinsflokkur","hond":"H","keppni":"Forkeppni","keppnisgrein":"Fjórgangur V5","raslisti_birtur":1}]</t>
  </si>
  <si>
    <t>Elsa Karmunen</t>
  </si>
  <si>
    <t>Dynjandi</t>
  </si>
  <si>
    <t>Dynjandi från Allemansängen</t>
  </si>
  <si>
    <t>SE2016170822</t>
  </si>
  <si>
    <t>[{"flokksteg":"Ungmennaflokkur","hond":"V","keppni":"Forkeppni","keppnisgrein":"Tölt T8","raslisti_birtur":1},{"flokksteg":"Ungmennaflokkur","hond":"V","keppni":"Forkeppni","keppnisgrein":"Fjórgangur V5","raslisti_birtur":1}]</t>
  </si>
  <si>
    <t>erik Binning</t>
  </si>
  <si>
    <t>Hektor från Forsen</t>
  </si>
  <si>
    <t>SE2018129001</t>
  </si>
  <si>
    <t>[{"flokksteg":"Unglingaflokkur","hond":"V","keppni":"Forkeppni","keppnisgrein":"Fjórgangur V5","raslisti_birtur":1}]</t>
  </si>
  <si>
    <t>Demantur</t>
  </si>
  <si>
    <t>Demantur från Stenshult</t>
  </si>
  <si>
    <t>SE2014106099</t>
  </si>
  <si>
    <t>Brúnn/milli- skjótt hringeygt eða glaseygt</t>
  </si>
  <si>
    <t>[{"flokksteg":"Unglingaflokkur","hond":"V","keppni":"Forkeppni","keppnisgrein":"Fjórgangur V1","raslisti_birtur":1}]</t>
  </si>
  <si>
    <t>Evelina Parkatti</t>
  </si>
  <si>
    <t>Svartálfur</t>
  </si>
  <si>
    <t>Svartálfur från Granmyra</t>
  </si>
  <si>
    <t>SE2018115010</t>
  </si>
  <si>
    <t>[{"flokksteg":"Fullorðinsflokkur","hond":"V","keppni":"Forkeppni","keppnisgrein":"Fjórgangur V5","raslisti_birtur":1},{"flokksteg":"Fullorðinsflokkur","hond":"V","keppni":"Forkeppni","keppnisgrein":"Tölt T8","raslisti_birtur":0}]</t>
  </si>
  <si>
    <t>Fanny Reijonen</t>
  </si>
  <si>
    <t>Vilja</t>
  </si>
  <si>
    <t>Vilja från Västanfors</t>
  </si>
  <si>
    <t>SE2017229909</t>
  </si>
  <si>
    <t>[{"flokksteg":"Ungmennaflokkur","hond":"V","keppni":"Forkeppni","keppnisgrein":"Fjórgangur V5","raslisti_birtur":1}]</t>
  </si>
  <si>
    <t>Felicia Olsson</t>
  </si>
  <si>
    <t>Fróði</t>
  </si>
  <si>
    <t>Fróði frá Hrísdal</t>
  </si>
  <si>
    <t>IS2013137720</t>
  </si>
  <si>
    <t xml:space="preserve">Brúnn/mó- skjótt  </t>
  </si>
  <si>
    <t>[{"flokksteg":"Ungmennaflokkur","hond":"V","keppni":"Forkeppni","keppnisgrein":"Tölt T8","raslisti_birtur":1},{"flokksteg":"Ungmennaflokkur","hond":"V","keppni":"Forkeppni","keppnisgrein":"Tölt T1","raslisti_birtur":1}]</t>
  </si>
  <si>
    <t>Jennie Norling</t>
  </si>
  <si>
    <t>Skjóni</t>
  </si>
  <si>
    <t>Skjóni frá Hjallanesi 1</t>
  </si>
  <si>
    <t>IS2015181674</t>
  </si>
  <si>
    <t xml:space="preserve">Jarpur/dökk- skjótt  </t>
  </si>
  <si>
    <t>[{"flokksteg":"Fullorðinsflokkur","hond":"V","keppni":"Forkeppni","keppnisgrein":"Tölt T8","raslisti_birtur":0}]</t>
  </si>
  <si>
    <t>Josefin nilsson</t>
  </si>
  <si>
    <t>Rut</t>
  </si>
  <si>
    <t>Rut från Dalkulla</t>
  </si>
  <si>
    <t>SE2015270146</t>
  </si>
  <si>
    <t>Islandshästförening Jarnhestur</t>
  </si>
  <si>
    <t>[{"flokksteg":"Fullorðinsflokkur","hond":"V","keppni":"Forkeppni","keppnisgrein":"Tölt T8","raslisti_birtur":0},{"flokksteg":"Fullorðinsflokkur","hond":"V","keppni":"Forkeppni","keppnisgrein":"Fjórgangur V5","raslisti_birtur":1}]</t>
  </si>
  <si>
    <t>Meistari</t>
  </si>
  <si>
    <t>Meistari fra Lunde</t>
  </si>
  <si>
    <t>NO2016112139</t>
  </si>
  <si>
    <t xml:space="preserve">Jarpur/milli- stjarna,nös eða tvístj. auk leista eða sokka  </t>
  </si>
  <si>
    <t>[{"flokksteg":"Fullorðinsflokkur","hond":"V","keppni":"Forkeppni","keppnisgrein":"Tölt T1","raslisti_birtur":1},{"flokksteg":"Fullorðinsflokkur","hond":"V","keppni":"Forkeppni","keppnisgrein":"Fimmgangur F1","raslisti_birtur":1}]</t>
  </si>
  <si>
    <t>Josefin Sundman</t>
  </si>
  <si>
    <t>Reynir</t>
  </si>
  <si>
    <t>Reynir från Skogstorp</t>
  </si>
  <si>
    <t>SE2015170085</t>
  </si>
  <si>
    <t xml:space="preserve">Brúnn/gló- skjótt  </t>
  </si>
  <si>
    <t>[{"flokksteg":"Unglingaflokkur","hond":"H","keppni":"Forkeppni","keppnisgrein":"Tölt T8","raslisti_birtur":1},{"flokksteg":"Unglingaflokkur","hond":"H","keppni":"Forkeppni","keppnisgrein":"Fjórgangur V5","raslisti_birtur":1}]</t>
  </si>
  <si>
    <t>Judith Ekman Sundström</t>
  </si>
  <si>
    <t>Björk</t>
  </si>
  <si>
    <t>Björk från Oxhagen</t>
  </si>
  <si>
    <t>SE2015270209</t>
  </si>
  <si>
    <t>[{"flokksteg":"Unglingaflokkur","hond":"H","keppni":"Forkeppni","keppnisgrein":"Tölt T8","raslisti_birtur":1}]</t>
  </si>
  <si>
    <t>Lena Parkatti</t>
  </si>
  <si>
    <t>Hrókur</t>
  </si>
  <si>
    <t>Hrókur frá Hofi á Höfðaströnd</t>
  </si>
  <si>
    <t>IS2009158151</t>
  </si>
  <si>
    <t>My sundström</t>
  </si>
  <si>
    <t>Runi</t>
  </si>
  <si>
    <t>Runi från Forsen</t>
  </si>
  <si>
    <t>SE2017129912</t>
  </si>
  <si>
    <t>[{"flokksteg":"Unglingaflokkur","hond":"H","keppni":"Forkeppni","keppnisgrein":"Fjórgangur V5","raslisti_birtur":1},{"flokksteg":"Unglingaflokkur","hond":"H","keppni":"Forkeppni","keppnisgrein":"Tölt T8","raslisti_birtur":1}]</t>
  </si>
  <si>
    <t>Rebecca Ivarsson</t>
  </si>
  <si>
    <t>Príma</t>
  </si>
  <si>
    <t>Príma från Stenvillan</t>
  </si>
  <si>
    <t>SE2017229910</t>
  </si>
  <si>
    <t>[{"flokksteg":"Fullorðinsflokkur","hond":"V","keppni":"Forkeppni","keppnisgrein":"Fimmgangur F1","raslisti_birtur":1},{"flokksteg":"Fullorðinsflokkur","hond":"V","keppni":"Forkeppni","keppnisgrein":"Tölt T1","raslisti_birtur":1}]</t>
  </si>
  <si>
    <t>Stina Binning</t>
  </si>
  <si>
    <t>Hermes</t>
  </si>
  <si>
    <t>Hermes från Nederhyttan</t>
  </si>
  <si>
    <t>SE2001100327</t>
  </si>
  <si>
    <t>Vendela Åhlen</t>
  </si>
  <si>
    <t>Gloria</t>
  </si>
  <si>
    <t>Gloria från Vinteråsen</t>
  </si>
  <si>
    <t>SE2007208087</t>
  </si>
  <si>
    <t>[{"flokksteg":"Ungmennaflokkur","hond":"H","keppni":"Forkeppni","keppnisgrein":"Fjórgangur V5","raslisti_birtur":1},{"flokksteg":"Ungmennaflokkur","hond":"V","keppni":"Forkeppni","keppnisgrein":"Fjórgangur V1","raslisti_birtur":1},{"flokksteg":"Ungmennaflokkur","hond":"H","keppni":"Forkeppni","keppnisgrein":"Tölt T8","raslisti_birtur":1}]</t>
  </si>
  <si>
    <t>2026-02-07T13:28:26.983Z</t>
  </si>
  <si>
    <t>[{"flokksteg":"Fullorðinsflokkur","hond":"H","keppni":"Forkeppni","keppnisgrein":"Fjórgangur V5","raslisti_birtur":0},{"flokksteg":"Fullorðinsflokkur","hond":"H","keppni":"Forkeppni","keppnisgrein":"Tölt T8","raslisti_birtur":0}]</t>
  </si>
  <si>
    <t>[{"flokksteg":"Ungmennaflokkur","hond":"V","keppni":"Forkeppni","keppnisgrein":"Fjórgangur V5","raslisti_birtur":1},{"flokksteg":"Ungmennaflokkur","hond":"V","keppni":"Forkeppni","keppnisgrein":"Tölt T8","raslisti_birtur":1}]</t>
  </si>
  <si>
    <t>[{"flokksteg":"Fullorðinsflokkur","hond":"V","keppni":"Forkeppni","keppnisgrein":"Tölt T8","raslisti_birtur":0},{"flokksteg":"Fullorðinsflokkur","hond":"V","keppni":"Forkeppni","keppnisgrein":"Fjórgangur V5","raslisti_birtur":0}]</t>
  </si>
  <si>
    <t>[{"flokksteg":"Ungmennaflokkur","hond":"V","keppni":"Forkeppni","keppnisgrein":"Fjórgangur V1","raslisti_birtur":1},{"flokksteg":"Ungmennaflokkur","hond":"H","keppni":"Forkeppni","keppnisgrein":"Tölt T8","raslisti_birtur":1},{"flokksteg":"Ungmennaflokkur","hond":"H","keppni":"Forkeppni","keppnisgrein":"Fjórgangur V5","raslisti_birtur":1}]</t>
  </si>
  <si>
    <t>2026-02-08T10:44:00.430Z</t>
  </si>
  <si>
    <t>Adora Bjälmén</t>
  </si>
  <si>
    <t>Trostan</t>
  </si>
  <si>
    <t>Trostan från Bergeå Gård</t>
  </si>
  <si>
    <t>SE2015170429</t>
  </si>
  <si>
    <t>Sverige</t>
  </si>
  <si>
    <t>[{"flokksteg":"Ungmennaflokkur","hond":"V","keppni":"Forkeppni","keppnisgrein":"Fjórgangur V5","raslisti_birtur":0},{"flokksteg":"Ungmennaflokkur","hond":"V","keppni":"Forkeppni","keppnisgrein":"Tölt T8","raslisti_birtur":0}]</t>
  </si>
  <si>
    <t>Agnes Jansson</t>
  </si>
  <si>
    <t>Álfaþór</t>
  </si>
  <si>
    <t>Álfaþór frá Halakoti</t>
  </si>
  <si>
    <t>IS2013182466</t>
  </si>
  <si>
    <t>[{"flokksteg":"Ungmennaflokkur","hond":"H","keppni":"Forkeppni","keppnisgrein":"Tölt T8","raslisti_birtur":0},{"flokksteg":"Fullorðinsflokkur - Meistaraflokkur","hond":"V","keppni":"Forkeppni","keppnisgrein":"Fimmgangur F2","raslisti_birtur":0}]</t>
  </si>
  <si>
    <t>Anna-Lena Berg</t>
  </si>
  <si>
    <t>Ramses</t>
  </si>
  <si>
    <t>Ramses från Snäcksjön</t>
  </si>
  <si>
    <t>SE2015170075</t>
  </si>
  <si>
    <t>[{"flokksteg":"Fullorðinsflokkur - Meistaraflokkur","hond":"V","keppni":"Forkeppni","keppnisgrein":"Tölt T3","raslisti_birtur":0},{"flokksteg":"Fullorðinsflokkur - Meistaraflokkur","hond":"V","keppni":"Forkeppni","keppnisgrein":"Fimmgangur F2","raslisti_birtur":0}]</t>
  </si>
  <si>
    <t>Annica Hassel</t>
  </si>
  <si>
    <t>Herkúles</t>
  </si>
  <si>
    <t>Herkúles från Sléttaból</t>
  </si>
  <si>
    <t>SE2014106397</t>
  </si>
  <si>
    <t>[{"flokksteg":"Fullorðinsflokkur - Meistaraflokkur","hond":"H","keppni":"Forkeppni","keppnisgrein":"Tölt T8","raslisti_birtur":0},{"flokksteg":"Fullorðinsflokkur - Meistaraflokkur","hond":"H","keppni":"Forkeppni","keppnisgrein":"Fjórgangur V5","raslisti_birtur":0}]</t>
  </si>
  <si>
    <t>Åsa Rydén</t>
  </si>
  <si>
    <t>Háfeti från Lilla Sträckås</t>
  </si>
  <si>
    <t>SE2012104227</t>
  </si>
  <si>
    <t>[{"flokksteg":"Fullorðinsflokkur - Meistaraflokkur","hond":"V","keppni":"Forkeppni","keppnisgrein":"Tölt T8","raslisti_birtur":0},{"flokksteg":"Fullorðinsflokkur - Meistaraflokkur","hond":"H","keppni":"Forkeppni","keppnisgrein":"Fjórgangur V5","raslisti_birtur":0}]</t>
  </si>
  <si>
    <t>Elin Rosdahl</t>
  </si>
  <si>
    <t>Basti</t>
  </si>
  <si>
    <t>Basti från Viby</t>
  </si>
  <si>
    <t>SE2020129006</t>
  </si>
  <si>
    <t>[{"flokksteg":"Fullorðinsflokkur - 3. flokkur","hond":"V","keppni":"Forkeppni","keppnisgrein":"Fjórgangur V5","raslisti_birtur":0}]</t>
  </si>
  <si>
    <t>[{"flokksteg":"Unglingaflokkur","hond":"H","keppni":"Forkeppni","keppnisgrein":"Tölt T8","raslisti_birtur":0},{"flokksteg":"Unglingaflokkur","hond":"H","keppni":"Forkeppni","keppnisgrein":"Fjórgangur V5","raslisti_birtur":0}]</t>
  </si>
  <si>
    <t>Elin Öman</t>
  </si>
  <si>
    <t>Sleipnir från Tavelsjö</t>
  </si>
  <si>
    <t>SE2018134001</t>
  </si>
  <si>
    <t xml:space="preserve">Vindóttur/mós-, móálótt- einlitt  </t>
  </si>
  <si>
    <t>[{"flokksteg":"Fullorðinsflokkur - Meistaraflokkur","hond":"V","keppni":"Forkeppni","keppnisgrein":"Tölt T8","raslisti_birtur":0},{"flokksteg":"Fullorðinsflokkur - Meistaraflokkur","hond":"V","keppni":"Forkeppni","keppnisgrein":"Fjórgangur V5","raslisti_birtur":0}]</t>
  </si>
  <si>
    <t>Ella Nilsson</t>
  </si>
  <si>
    <t>Már</t>
  </si>
  <si>
    <t>Már från Rumma Gård</t>
  </si>
  <si>
    <t>SE2012104797</t>
  </si>
  <si>
    <t>Taktur Mälardalens Islandshästförening</t>
  </si>
  <si>
    <t>[{"flokksteg":"Fullorðinsflokkur - Meistaraflokkur","hond":"V","keppni":"Forkeppni","keppnisgrein":"Fjórgangur V2","raslisti_birtur":0},{"flokksteg":"Fullorðinsflokkur - Meistaraflokkur","hond":"V","keppni":"Forkeppni","keppnisgrein":"Tölt T3","raslisti_birtur":0}]</t>
  </si>
  <si>
    <t>Ella Öhrberg</t>
  </si>
  <si>
    <t>Pílagrímur</t>
  </si>
  <si>
    <t>Pílagrímur från Carlekulla</t>
  </si>
  <si>
    <t>SE2007107537</t>
  </si>
  <si>
    <t>[{"flokksteg":"Ungmennaflokkur","hond":"H","keppni":"Forkeppni","keppnisgrein":"Tölt T8","raslisti_birtur":0},{"flokksteg":"Ungmennaflokkur","hond":"H","keppni":"Forkeppni","keppnisgrein":"Fjórgangur V5","raslisti_birtur":0}]</t>
  </si>
  <si>
    <t>Elsa Jacobsson</t>
  </si>
  <si>
    <t>Efni</t>
  </si>
  <si>
    <t>Efni från Lönneberga</t>
  </si>
  <si>
    <t>SE2002103633</t>
  </si>
  <si>
    <t>Hrimfaxi Islandshästklubb</t>
  </si>
  <si>
    <t>[{"flokksteg":"Unglingaflokkur","hond":"V","keppni":"Forkeppni","keppnisgrein":"Tölt T8","raslisti_birtur":0}]</t>
  </si>
  <si>
    <t>Emilia Jessen</t>
  </si>
  <si>
    <t>Miðill</t>
  </si>
  <si>
    <t>Miðill frá Kistufelli</t>
  </si>
  <si>
    <t>IS2009135783</t>
  </si>
  <si>
    <t>Dyggur Islandshästförening</t>
  </si>
  <si>
    <t>[{"flokksteg":"Fullorðinsflokkur - Meistaraflokkur","hond":"H","keppni":"Forkeppni","keppnisgrein":"Tölt T8","raslisti_birtur":0}]</t>
  </si>
  <si>
    <t>Emma Novljanin</t>
  </si>
  <si>
    <t>Toppur</t>
  </si>
  <si>
    <t>Toppur frá Hamri</t>
  </si>
  <si>
    <t>IS2010187785</t>
  </si>
  <si>
    <t>[{"flokksteg":"Unglingaflokkur","hond":"V","keppni":"Forkeppni","keppnisgrein":"Fjórgangur V5","raslisti_birtur":0},{"flokksteg":"Unglingaflokkur","hond":"H","keppni":"Forkeppni","keppnisgrein":"Tölt T8","raslisti_birtur":0}]</t>
  </si>
  <si>
    <t>Felizia Eriksson Westberg</t>
  </si>
  <si>
    <t>Eldar</t>
  </si>
  <si>
    <t>Eldar från Stóra-Kroppi</t>
  </si>
  <si>
    <t>SE2015170301</t>
  </si>
  <si>
    <t>Frida Lindström</t>
  </si>
  <si>
    <t>Óvænt</t>
  </si>
  <si>
    <t>Óvænt från Främshyttan</t>
  </si>
  <si>
    <t>SE2018229012</t>
  </si>
  <si>
    <t>Maídís</t>
  </si>
  <si>
    <t>Maídís från Forsen</t>
  </si>
  <si>
    <t>SE2020229005</t>
  </si>
  <si>
    <t>Hanna Lundegard</t>
  </si>
  <si>
    <t>Heimir</t>
  </si>
  <si>
    <t>Heimir från Lundegard</t>
  </si>
  <si>
    <t>SE2020114006</t>
  </si>
  <si>
    <t>[{"flokksteg":"Fullorðinsflokkur - 3. flokkur","hond":"V","keppni":"Forkeppni","keppnisgrein":"Fjórgangur V5","raslisti_birtur":0},{"flokksteg":"Fullorðinsflokkur - 3. flokkur","hond":"V","keppni":"Forkeppni","keppnisgrein":"Tölt T8","raslisti_birtur":0}]</t>
  </si>
  <si>
    <t>Helena Danielsson</t>
  </si>
  <si>
    <t>Ragnar</t>
  </si>
  <si>
    <t>Ragnar från Odensicke</t>
  </si>
  <si>
    <t>SE2018114007</t>
  </si>
  <si>
    <t>Dalur Islandshästförening</t>
  </si>
  <si>
    <t>[{"flokksteg":"Fullorðinsflokkur","hond":"V","keppni":"Forkeppni","keppnisgrein":"Fjórgangur V5","raslisti_birtur":0},{"flokksteg":"Fullorðinsflokkur","hond":"V","keppni":"Forkeppni","keppnisgrein":"Tölt T8","raslisti_birtur":0}]</t>
  </si>
  <si>
    <t>Ida Andersson</t>
  </si>
  <si>
    <t>Aragon</t>
  </si>
  <si>
    <t>Aragon från Nancke</t>
  </si>
  <si>
    <t>SE2011103069</t>
  </si>
  <si>
    <t>Ida Larsson</t>
  </si>
  <si>
    <t>Byr</t>
  </si>
  <si>
    <t>Byr från KaJa</t>
  </si>
  <si>
    <t>SE2018131008</t>
  </si>
  <si>
    <t>[{"flokksteg":"Ungmennaflokkur","hond":"H","keppni":"Forkeppni","keppnisgrein":"Tölt T8","raslisti_birtur":0}]</t>
  </si>
  <si>
    <t>Isabella Stålhammar</t>
  </si>
  <si>
    <t>Auður</t>
  </si>
  <si>
    <t>Auður från Sved</t>
  </si>
  <si>
    <t>SE2013129900</t>
  </si>
  <si>
    <t xml:space="preserve">Vindóttur/mó blesa auk leista eða sokka  </t>
  </si>
  <si>
    <t>[{"flokksteg":"Fullorðinsflokkur - Meistaraflokkur","hond":"H","keppni":"Forkeppni","keppnisgrein":"Tölt T3","raslisti_birtur":0},{"flokksteg":"Fullorðinsflokkur - Meistaraflokkur","hond":"H","keppni":"Forkeppni","keppnisgrein":"Tölt T8","raslisti_birtur":0}]</t>
  </si>
  <si>
    <t>Izabelle Westberg</t>
  </si>
  <si>
    <t>Dimma från Vendel</t>
  </si>
  <si>
    <t>SE2016211001</t>
  </si>
  <si>
    <t>Jenny Liljehult</t>
  </si>
  <si>
    <t>Glaður</t>
  </si>
  <si>
    <t>Glaður frá Hofsstaðaseli</t>
  </si>
  <si>
    <t>IS2015158530</t>
  </si>
  <si>
    <t>Jenny Muskos</t>
  </si>
  <si>
    <t>Flugar</t>
  </si>
  <si>
    <t>Flugar frá Oddsstöðum I</t>
  </si>
  <si>
    <t>IS2016135717</t>
  </si>
  <si>
    <t>[{"flokksteg":"Fullorðinsflokkur - Meistaraflokkur","hond":"V","keppni":"Forkeppni","keppnisgrein":"Fjórgangur V2","raslisti_birtur":0}]</t>
  </si>
  <si>
    <t>Kaisa Falk Norgren</t>
  </si>
  <si>
    <t>Ljósadís</t>
  </si>
  <si>
    <t>Ljósadís från Askabäcken</t>
  </si>
  <si>
    <t>SE2009209797</t>
  </si>
  <si>
    <t xml:space="preserve">Leirljós/Hvítur/milli- skjótt  </t>
  </si>
  <si>
    <t>[{"flokksteg":"Fullorðinsflokkur - Meistaraflokkur","hond":"H","keppni":"Forkeppni","keppnisgrein":"Fjórgangur V5","raslisti_birtur":0},{"flokksteg":"Fullorðinsflokkur - Meistaraflokkur","hond":"V","keppni":"Forkeppni","keppnisgrein":"Tölt T8","raslisti_birtur":0}]</t>
  </si>
  <si>
    <t>Klara Nydahl</t>
  </si>
  <si>
    <t>Stakkur</t>
  </si>
  <si>
    <t>Stakkur från Viby</t>
  </si>
  <si>
    <t>SE2019129011</t>
  </si>
  <si>
    <t>[{"flokksteg":"Fullorðinsflokkur - Meistaraflokkur","hond":"V","keppni":"Forkeppni","keppnisgrein":"Fimmgangur F2","raslisti_birtur":0}]</t>
  </si>
  <si>
    <t>Ljósvaki</t>
  </si>
  <si>
    <t>Ljósvaki frá Krossanesi</t>
  </si>
  <si>
    <t>IS2019157691</t>
  </si>
  <si>
    <t xml:space="preserve">Grár/rauður skjótt  </t>
  </si>
  <si>
    <t>[{"flokksteg":"Ungmennaflokkur","hond":"V","keppni":"Forkeppni","keppnisgrein":"Fjórgangur V5","raslisti_birtur":0}]</t>
  </si>
  <si>
    <t>[{"flokksteg":"Unglingaflokkur","hond":"V","keppni":"Forkeppni","keppnisgrein":"Tölt T8","raslisti_birtur":0},{"flokksteg":"Unglingaflokkur","hond":"H","keppni":"Forkeppni","keppnisgrein":"Fjórgangur V5","raslisti_birtur":0}]</t>
  </si>
  <si>
    <t>Linda Teske</t>
  </si>
  <si>
    <t>Tindur</t>
  </si>
  <si>
    <t>Tindur från Sundabakka</t>
  </si>
  <si>
    <t>SE2017123915</t>
  </si>
  <si>
    <t>[{"flokksteg":"Fullorðinsflokkur - Meistaraflokkur","hond":"H","keppni":"Forkeppni","keppnisgrein":"Tölt T3","raslisti_birtur":0},{"flokksteg":"Fullorðinsflokkur - Meistaraflokkur","hond":"H","keppni":"Forkeppni","keppnisgrein":"Fjórgangur V2","raslisti_birtur":0}]</t>
  </si>
  <si>
    <t>Linnea Samuelsson</t>
  </si>
  <si>
    <t>Snjöll</t>
  </si>
  <si>
    <t>Snjöll frá Fossi</t>
  </si>
  <si>
    <t>IS2014288664</t>
  </si>
  <si>
    <t>[{"flokksteg":"Ungmennaflokkur","hond":"H","keppni":"Forkeppni","keppnisgrein":"Tölt T8","raslisti_birtur":0},{"flokksteg":"Ungmennaflokkur","hond":"V","keppni":"Forkeppni","keppnisgrein":"Fjórgangur V5","raslisti_birtur":0}]</t>
  </si>
  <si>
    <t>Lisa Karlsson</t>
  </si>
  <si>
    <t>Alex</t>
  </si>
  <si>
    <t>Alex från Voxnadalen</t>
  </si>
  <si>
    <t>SE2014106721</t>
  </si>
  <si>
    <t xml:space="preserve">Jarpur/korg- stjarna,nös eða tvístj. auk leista eða sokka  </t>
  </si>
  <si>
    <t>[{"flokksteg":"Fullorðinsflokkur - Meistaraflokkur","hond":"H","keppni":"Forkeppni","keppnisgrein":"Fjórgangur V5","raslisti_birtur":0},{"flokksteg":"Fullorðinsflokkur - Meistaraflokkur","hond":"H","keppni":"Forkeppni","keppnisgrein":"Tölt T8","raslisti_birtur":0}]</t>
  </si>
  <si>
    <t>Lisa Sannesjö</t>
  </si>
  <si>
    <t>Enya</t>
  </si>
  <si>
    <t>Enya från Tenglagården</t>
  </si>
  <si>
    <t>SE2010201677</t>
  </si>
  <si>
    <t>Maja Lundberg</t>
  </si>
  <si>
    <t>Glódis</t>
  </si>
  <si>
    <t>Glódis från Forsen</t>
  </si>
  <si>
    <t>SE2007207071</t>
  </si>
  <si>
    <t>Maria Kling</t>
  </si>
  <si>
    <t>Týr från Sundabakka</t>
  </si>
  <si>
    <t>SE2010102130</t>
  </si>
  <si>
    <t>[{"flokksteg":"Fullorðinsflokkur - Meistaraflokkur","hond":"V","keppni":"Forkeppni","keppnisgrein":"Fimmgangur F2","raslisti_birtur":0},{"flokksteg":"Fullorðinsflokkur","hond":"H","keppni":"Forkeppni","keppnisgrein":"Tölt T8","raslisti_birtur":0}]</t>
  </si>
  <si>
    <t>Matilda Hagman</t>
  </si>
  <si>
    <t>Arion</t>
  </si>
  <si>
    <t>Arion från Himmelsrum</t>
  </si>
  <si>
    <t>SE2017118928</t>
  </si>
  <si>
    <t>[{"flokksteg":"Fullorðinsflokkur","hond":"V","keppni":"Forkeppni","keppnisgrein":"Fjórgangur V5","raslisti_birtur":0}]</t>
  </si>
  <si>
    <t>Micaela Clasdotter</t>
  </si>
  <si>
    <t>Framtíð</t>
  </si>
  <si>
    <t>Framtíð från Bärby</t>
  </si>
  <si>
    <t>SE2018213007</t>
  </si>
  <si>
    <t>[{"flokksteg":"Fullorðinsflokkur - Meistaraflokkur","hond":"V","keppni":"Forkeppni","keppnisgrein":"Fjórgangur V5","raslisti_birtur":0},{"flokksteg":"Fullorðinsflokkur - Meistaraflokkur","hond":"V","keppni":"Forkeppni","keppnisgrein":"Tölt T8","raslisti_birtur":0}]</t>
  </si>
  <si>
    <t>Nora Sanfridsson</t>
  </si>
  <si>
    <t>Fjalladís</t>
  </si>
  <si>
    <t>Fjalladís från Salmens</t>
  </si>
  <si>
    <t>SE2013205625</t>
  </si>
  <si>
    <t>Gneisti Islandshästförening</t>
  </si>
  <si>
    <t>[{"flokksteg":"Fullorðinsflokkur","hond":"H","keppni":"Forkeppni","keppnisgrein":"Tölt T8","raslisti_birtur":0}]</t>
  </si>
  <si>
    <t>Olivia Fernström</t>
  </si>
  <si>
    <t>Maharadza</t>
  </si>
  <si>
    <t>Maharadza fra Hennum</t>
  </si>
  <si>
    <t>FI2014116001</t>
  </si>
  <si>
    <t>[{"flokksteg":"Fullorðinsflokkur - Meistaraflokkur","hond":"V","keppni":"Forkeppni","keppnisgrein":"Tölt T3","raslisti_birtur":0},{"flokksteg":"Fullorðinsflokkur - Meistaraflokkur","hond":"V","keppni":"Forkeppni","keppnisgrein":"Fjórgangur V2","raslisti_birtur":0}]</t>
  </si>
  <si>
    <t>Peter Gustavsson</t>
  </si>
  <si>
    <t>Gyllir</t>
  </si>
  <si>
    <t>Gyllir frá Galtastöðum</t>
  </si>
  <si>
    <t>IS2015182821</t>
  </si>
  <si>
    <t>[{"flokksteg":"Fullorðinsflokkur - Meistaraflokkur","hond":"H","keppni":"Forkeppni","keppnisgrein":"Fimmgangur F2","raslisti_birtur":0}]</t>
  </si>
  <si>
    <t>Siri Furusjö</t>
  </si>
  <si>
    <t>Flekkur</t>
  </si>
  <si>
    <t>Flekkur från Hällstad Kronogård</t>
  </si>
  <si>
    <t>SE2014106500</t>
  </si>
  <si>
    <t>[{"flokksteg":"Unglingaflokkur","hond":"H","keppni":"Forkeppni","keppnisgrein":"Fjórgangur V5","raslisti_birtur":0},{"flokksteg":"Unglingaflokkur","hond":"H","keppni":"Forkeppni","keppnisgrein":"Tölt T8","raslisti_birtur":0}]</t>
  </si>
  <si>
    <t>Sofia Jansson</t>
  </si>
  <si>
    <t>Ómur</t>
  </si>
  <si>
    <t>Ómur frá Brimilsvöllum</t>
  </si>
  <si>
    <t>IS2007137405</t>
  </si>
  <si>
    <t>[{"flokksteg":"Fullorðinsflokkur - Meistaraflokkur","hond":"H","keppni":"Forkeppni","keppnisgrein":"Tölt T3","raslisti_birtur":0}]</t>
  </si>
  <si>
    <t>Freydís</t>
  </si>
  <si>
    <t>Freydís från Jan Pers</t>
  </si>
  <si>
    <t>SE2008208835</t>
  </si>
  <si>
    <t xml:space="preserve">Grár/óþekktur stjörnótt  </t>
  </si>
  <si>
    <t>[{"flokksteg":"Unglingaflokkur","hond":"H","keppni":"Forkeppni","keppnisgrein":"Tölt T8","raslisti_birtur":0},{"flokksteg":" ","hond":"H","keppni":"Forkeppni","keppnisgrein":"C1 flokkur","raslisti_birtur":0}]</t>
  </si>
  <si>
    <t>Therese Tengelsen</t>
  </si>
  <si>
    <t>Maía</t>
  </si>
  <si>
    <t>Maía från Tenglagården</t>
  </si>
  <si>
    <t>SE2016207261</t>
  </si>
  <si>
    <t>Vísla</t>
  </si>
  <si>
    <t>Vísla från Tenglagården</t>
  </si>
  <si>
    <t>SE2018228003</t>
  </si>
  <si>
    <t>Thilda Larsson</t>
  </si>
  <si>
    <t>Lundi</t>
  </si>
  <si>
    <t>Lundi från HagaNäs</t>
  </si>
  <si>
    <t>SE2017128921</t>
  </si>
  <si>
    <t>[{"flokksteg":"Ungmennaflokkur","hond":"H","keppni":"Forkeppni","keppnisgrein":"Fjórgangur V5","raslisti_birtur":0}]</t>
  </si>
  <si>
    <t>Tyra Zetterblom</t>
  </si>
  <si>
    <t>Rauði Baróninn</t>
  </si>
  <si>
    <t>Rauði Baróninn från Stålhammar</t>
  </si>
  <si>
    <t>SE2010102272</t>
  </si>
  <si>
    <t>[{"flokksteg":"Ungmennaflokkur","hond":"V","keppni":"Forkeppni","keppnisgrein":"Tölt T8","raslisti_birtur":0},{"flokksteg":"Ungmennaflokkur","hond":"V","keppni":"Forkeppni","keppnisgrein":"Fjórgangur V5","raslisti_birtur":0}]</t>
  </si>
  <si>
    <t>[{"flokksteg":"Ungmennaflokkur","hond":"V","keppni":"Forkeppni","keppnisgrein":"Tölt T8","raslisti_birtur":0}]</t>
  </si>
  <si>
    <t>Victoria Höök</t>
  </si>
  <si>
    <t>Sædís</t>
  </si>
  <si>
    <t>Sædís frá Víðidalstungu II</t>
  </si>
  <si>
    <t>IS2015255057</t>
  </si>
  <si>
    <t>Rauður/milli- skjótt hringeygt eða glaseygt</t>
  </si>
  <si>
    <t>2026-02-08T10:44:10.392Z</t>
  </si>
  <si>
    <t>Alice Herling</t>
  </si>
  <si>
    <t>Vigdís Kraftsdóttir</t>
  </si>
  <si>
    <t>Vigdís Kraftsdóttir från Granmyra</t>
  </si>
  <si>
    <t>SE2017215902</t>
  </si>
  <si>
    <t>Sportföreningen Meistari</t>
  </si>
  <si>
    <t>Føroyskt Íslandsrossafelag</t>
  </si>
  <si>
    <t>[{"flokksteg":"Fullorðinsflokkur","hond":"V","keppni":"B úrslit","keppnisgrein":"Tölt T8","raslisti_birtur":1},{"flokksteg":"Fullorðinsflokkur","hond":"H","keppni":"Forkeppni","keppnisgrein":"Tölt T8","raslisti_birtur":1}]</t>
  </si>
  <si>
    <t>Camilla Rolfsdotter</t>
  </si>
  <si>
    <t>Héla</t>
  </si>
  <si>
    <t>Héla från Larstorp</t>
  </si>
  <si>
    <t>SE2015270091</t>
  </si>
  <si>
    <t>[{"flokksteg":"Fullorðinsflokkur","hond":"V","keppni":"A úrslit","keppnisgrein":"Tölt T3","raslisti_birtur":1},{"flokksteg":"Fullorðinsflokkur","hond":"H","keppni":"Forkeppni","keppnisgrein":"Tölt T3","raslisti_birtur":1},{"flokksteg":"Fullorðinsflokkur","hond":"V","keppni":"A úrslit","keppnisgrein":"Tölt T8","raslisti_birtur":1},{"flokksteg":"Fullorðinsflokkur","hond":"H","keppni":"Forkeppni","keppnisgrein":"Tölt T8","raslisti_birtur":1}]</t>
  </si>
  <si>
    <t>Cecilia Ekwall</t>
  </si>
  <si>
    <t>Hades</t>
  </si>
  <si>
    <t>Hades från Ånaryd</t>
  </si>
  <si>
    <t>SE2017116900</t>
  </si>
  <si>
    <t>Islandshästföreningen Framtid</t>
  </si>
  <si>
    <t>[{"flokksteg":"Fullorðinsflokkur","hond":"H","keppni":"Forkeppni","keppnisgrein":"Tölt T8","raslisti_birtur":1},{"flokksteg":"Fullorðinsflokkur","hond":"V","keppni":"B úrslit","keppnisgrein":"Tölt T8","raslisti_birtur":1}]</t>
  </si>
  <si>
    <t>Ebba Wängstam</t>
  </si>
  <si>
    <t>Tímóteus</t>
  </si>
  <si>
    <t>Tímóteus från HagaNäs</t>
  </si>
  <si>
    <t>SE2016171029</t>
  </si>
  <si>
    <t>[{"flokksteg":"Fullorðinsflokkur","hond":"H","keppni":"Forkeppni","keppnisgrein":"Tölt T8","raslisti_birtur":1}]</t>
  </si>
  <si>
    <t>Ella Sundström</t>
  </si>
  <si>
    <t>Glans</t>
  </si>
  <si>
    <t>Glans från Örnäs</t>
  </si>
  <si>
    <t>SE2015170047</t>
  </si>
  <si>
    <t>Gerstorps Ryttarsällskap</t>
  </si>
  <si>
    <t>Ellen Hedberg</t>
  </si>
  <si>
    <t>Myrkvi från Stenholmen</t>
  </si>
  <si>
    <t>SE2008108945</t>
  </si>
  <si>
    <t>[{"flokksteg":"Ungmennaflokkur","hond":"H","keppni":"Forkeppni","keppnisgrein":"Tölt T8","raslisti_birtur":1},{"flokksteg":"Ungmennaflokkur","hond":"V","keppni":"B úrslit","keppnisgrein":"Tölt T8","raslisti_birtur":1}]</t>
  </si>
  <si>
    <t>Elsa Nyström</t>
  </si>
  <si>
    <t>Bragur</t>
  </si>
  <si>
    <t>Bragur från Mölle</t>
  </si>
  <si>
    <t>SE2008109292</t>
  </si>
  <si>
    <t>[{"flokksteg":"Fullorðinsflokkur","hond":"V","keppni":"B úrslit","keppnisgrein":"Tölt T3","raslisti_birtur":1},{"flokksteg":"Fullorðinsflokkur","hond":"V","keppni":"Forkeppni","keppnisgrein":"Tölt T3","raslisti_birtur":1}]</t>
  </si>
  <si>
    <t>Felicia Espenrud</t>
  </si>
  <si>
    <t>Brilljant</t>
  </si>
  <si>
    <t>Brilljant från Mosegården</t>
  </si>
  <si>
    <t>SE2020118006</t>
  </si>
  <si>
    <t>Felicia Ferm Fälting</t>
  </si>
  <si>
    <t>Álfadís</t>
  </si>
  <si>
    <t>Álfadís från Karlsängs Gård</t>
  </si>
  <si>
    <t>SE2017218925</t>
  </si>
  <si>
    <t>[{"flokksteg":"Fullorðinsflokkur","hond":"H","keppni":"Forkeppni","keppnisgrein":"Tölt T8","raslisti_birtur":1},{"flokksteg":"Fullorðinsflokkur","hond":"V","keppni":"A úrslit","keppnisgrein":"Tölt T8","raslisti_birtur":1},{"flokksteg":"Fullorðinsflokkur","hond":"V","keppni":"Forkeppni","keppnisgrein":"Tölt T3","raslisti_birtur":1},{"flokksteg":"Fullorðinsflokkur","hond":"V","keppni":"A úrslit","keppnisgrein":"Tölt T3","raslisti_birtur":1}]</t>
  </si>
  <si>
    <t>Greta Nyström</t>
  </si>
  <si>
    <t>Eivor</t>
  </si>
  <si>
    <t>Eivor frá Staðartungu</t>
  </si>
  <si>
    <t>IS2013265318</t>
  </si>
  <si>
    <t xml:space="preserve">Bleikur/álóttur blesótt  </t>
  </si>
  <si>
    <t>[{"flokksteg":"Ungmennaflokkur","hond":"V","keppni":"A úrslit","keppnisgrein":"Tölt T8","raslisti_birtur":1},{"flokksteg":"Ungmennaflokkur","hond":"H","keppni":"Forkeppni","keppnisgrein":"Tölt T8","raslisti_birtur":1}]</t>
  </si>
  <si>
    <t>Hille Franzén</t>
  </si>
  <si>
    <t>Volki</t>
  </si>
  <si>
    <t>Volki från Uggletorps Gård</t>
  </si>
  <si>
    <t>SE2020115017</t>
  </si>
  <si>
    <t>Kulltorp Katla ryttarförening</t>
  </si>
  <si>
    <t>[{"flokksteg":"Fullorðinsflokkur","hond":"H","keppni":"Forkeppni","keppnisgrein":"Tölt T8","raslisti_birtur":1},{"flokksteg":"Fullorðinsflokkur","hond":"V","keppni":"A úrslit","keppnisgrein":"Tölt T8","raslisti_birtur":1}]</t>
  </si>
  <si>
    <t>Johanna Pettersson</t>
  </si>
  <si>
    <t>Viðar</t>
  </si>
  <si>
    <t>Viðar från Rök</t>
  </si>
  <si>
    <t>SE2016107311</t>
  </si>
  <si>
    <t>Johanna Rocklöv</t>
  </si>
  <si>
    <t>Mars</t>
  </si>
  <si>
    <t>Mars frá Feti</t>
  </si>
  <si>
    <t>IS2001186910</t>
  </si>
  <si>
    <t>Juia Agert</t>
  </si>
  <si>
    <t>Valborg</t>
  </si>
  <si>
    <t>Valborg från HagaNäs</t>
  </si>
  <si>
    <t>SE2017228915</t>
  </si>
  <si>
    <t>[{"flokksteg":"Ungmennaflokkur","hond":"V","keppni":"B úrslit","keppnisgrein":"Tölt T8","raslisti_birtur":1},{"flokksteg":"Ungmennaflokkur","hond":"H","keppni":"Forkeppni","keppnisgrein":"Tölt T8","raslisti_birtur":1}]</t>
  </si>
  <si>
    <t>Livia Putsén</t>
  </si>
  <si>
    <t>Laufa</t>
  </si>
  <si>
    <t>Laufa från Hästabet</t>
  </si>
  <si>
    <t>SE2012204281</t>
  </si>
  <si>
    <t>[{"flokksteg":"Ungmennaflokkur","hond":"H","keppni":"Forkeppni","keppnisgrein":"Tölt T8","raslisti_birtur":1},{"flokksteg":"Ungmennaflokkur","hond":"V","keppni":"A úrslit","keppnisgrein":"Tölt T8","raslisti_birtur":1}]</t>
  </si>
  <si>
    <t>Madelen Gryvik</t>
  </si>
  <si>
    <t>Smilla</t>
  </si>
  <si>
    <t>Smilla från Gryvik</t>
  </si>
  <si>
    <t>SE2018215005</t>
  </si>
  <si>
    <t>Glymur</t>
  </si>
  <si>
    <t>Glymur från Gryvik</t>
  </si>
  <si>
    <t>SE2021115007</t>
  </si>
  <si>
    <t>Mats Andersson</t>
  </si>
  <si>
    <t>Gódís</t>
  </si>
  <si>
    <t>Gódís från Granmyra</t>
  </si>
  <si>
    <t>SE2016270557</t>
  </si>
  <si>
    <t>[{"flokksteg":"Fullorðinsflokkur","hond":"V","keppni":"A úrslit","keppnisgrein":"Tölt T8","raslisti_birtur":1},{"flokksteg":"Fullorðinsflokkur","hond":"H","keppni":"Forkeppni","keppnisgrein":"Tölt T8","raslisti_birtur":1}]</t>
  </si>
  <si>
    <t>Rokkadís</t>
  </si>
  <si>
    <t>Rokkadís från Granmyra</t>
  </si>
  <si>
    <t>SE2018215009</t>
  </si>
  <si>
    <t>Molly Zanton</t>
  </si>
  <si>
    <t>Oddþór</t>
  </si>
  <si>
    <t>Oddþór från Skeppargården</t>
  </si>
  <si>
    <t>SE2015170257</t>
  </si>
  <si>
    <t>Monica Rasmussen</t>
  </si>
  <si>
    <t>Þrá</t>
  </si>
  <si>
    <t>Þrá frá Hléskógum</t>
  </si>
  <si>
    <t>IS2018266139</t>
  </si>
  <si>
    <t>Loki</t>
  </si>
  <si>
    <t>Loki frá Hléskógum</t>
  </si>
  <si>
    <t>IS2019166135</t>
  </si>
  <si>
    <t>My Damberg</t>
  </si>
  <si>
    <t>Lord Valdemar</t>
  </si>
  <si>
    <t>Lord Valdemar från Charlottenberg</t>
  </si>
  <si>
    <t>SE2020129999</t>
  </si>
  <si>
    <t>Saga Kolmodin</t>
  </si>
  <si>
    <t>Flugsvinn</t>
  </si>
  <si>
    <t>Flugsvinn från Blåsbotorpet</t>
  </si>
  <si>
    <t>SE2011203310</t>
  </si>
  <si>
    <t xml:space="preserve">Moldóttur/gul-/m- stjörnótt  </t>
  </si>
  <si>
    <t>Saga Sparre</t>
  </si>
  <si>
    <t>Viðja</t>
  </si>
  <si>
    <t>Viðja frá Bjarnanesi</t>
  </si>
  <si>
    <t>IS2012277174</t>
  </si>
  <si>
    <t>Signe Karlsson</t>
  </si>
  <si>
    <t>Dóttla</t>
  </si>
  <si>
    <t>Dóttla från Ånaryd</t>
  </si>
  <si>
    <t>SE2008209411</t>
  </si>
  <si>
    <t>Sonett Bergström</t>
  </si>
  <si>
    <t>Sleipnir från Linedal</t>
  </si>
  <si>
    <t>SE2017128913</t>
  </si>
  <si>
    <t xml:space="preserve">Vindóttur/mó skjótt  </t>
  </si>
  <si>
    <t>Stella Möller</t>
  </si>
  <si>
    <t>Dís från Distorp</t>
  </si>
  <si>
    <t>SE2010201387</t>
  </si>
  <si>
    <t>Thea Silfverö</t>
  </si>
  <si>
    <t>Alfadís</t>
  </si>
  <si>
    <t>Alfadís från Solbacken</t>
  </si>
  <si>
    <t>SE2009209977</t>
  </si>
  <si>
    <t>Tuva Jarander</t>
  </si>
  <si>
    <t>Árfaxi</t>
  </si>
  <si>
    <t>Árfaxi från Frihamra</t>
  </si>
  <si>
    <t>SE2014106185</t>
  </si>
  <si>
    <t>2026-02-08T10:45:23.484Z</t>
  </si>
  <si>
    <t>[{"flokksteg":"Fullorðinsflokkur","hond":"V","keppni":"A úrslit","keppnisgrein":"Fjórgangur V5","raslisti_birtur":1},{"flokksteg":"Fullorðinsflokkur","hond":"V","keppni":"Forkeppni","keppnisgrein":"Fjórgangur V5","raslisti_birtur":1}]</t>
  </si>
  <si>
    <t>[{"flokksteg":"Fullorðinsflokkur","hond":"V","keppni":"Forkeppni","keppnisgrein":"Fjórgangur V5","raslisti_birtur":1},{"flokksteg":"Fullorðinsflokkur","hond":"V","keppni":"A úrslit","keppnisgrein":"Fjórgangur V5","raslisti_birtur":1}]</t>
  </si>
  <si>
    <t>[{"flokksteg":"Unglingaflokkur","hond":"H","keppni":"Forkeppni","keppnisgrein":"Fjórgangur V5","raslisti_birtur":1},{"flokksteg":"Unglingaflokkur","hond":"V","keppni":"B úrslit","keppnisgrein":"Fjórgangur V5","raslisti_birtur":1}]</t>
  </si>
  <si>
    <t>Elma Hammar</t>
  </si>
  <si>
    <t>Ægir</t>
  </si>
  <si>
    <t>Ægir från Yttringe</t>
  </si>
  <si>
    <t>SE2002101572</t>
  </si>
  <si>
    <t>[{"flokksteg":"Unglingaflokkur","hond":"H","keppni":"Forkeppni","keppnisgrein":"Fjórgangur V5","raslisti_birtur":1}]</t>
  </si>
  <si>
    <t>Elsa Herling</t>
  </si>
  <si>
    <t>Undra</t>
  </si>
  <si>
    <t>Undra från Lindmåla</t>
  </si>
  <si>
    <t>SE2007207102</t>
  </si>
  <si>
    <t>[{"flokksteg":"Unglingaflokkur","hond":"V","keppni":"B úrslit","keppnisgrein":"Fjórgangur V5","raslisti_birtur":1},{"flokksteg":"Unglingaflokkur","hond":"H","keppni":"Forkeppni","keppnisgrein":"Fjórgangur V5","raslisti_birtur":1}]</t>
  </si>
  <si>
    <t>[{"flokksteg":"Unglingaflokkur","hond":"V","keppni":"A úrslit","keppnisgrein":"Fjórgangur V5","raslisti_birtur":1},{"flokksteg":"Unglingaflokkur","hond":"V","keppni":"Forkeppni","keppnisgrein":"Fjórgangur V5","raslisti_birtur":1}]</t>
  </si>
  <si>
    <t>Fredrik Sandberg</t>
  </si>
  <si>
    <t>Grani</t>
  </si>
  <si>
    <t>Grani från Rök</t>
  </si>
  <si>
    <t>SE2019115004</t>
  </si>
  <si>
    <t>[{"flokksteg":"Fullorðinsflokkur","hond":"V","keppni":"A úrslit","keppnisgrein":"Fjórgangur V2","raslisti_birtur":1},{"flokksteg":"Fullorðinsflokkur","hond":"H","keppni":"Forkeppni","keppnisgrein":"Fjórgangur V2","raslisti_birtur":1}]</t>
  </si>
  <si>
    <t>[{"flokksteg":"Fullorðinsflokkur","hond":"V","keppni":"Forkeppni","keppnisgrein":"Fjórgangur V5","raslisti_birtur":1}]</t>
  </si>
  <si>
    <t>[{"flokksteg":"Unglingaflokkur","hond":"V","keppni":"B úrslit","keppnisgrein":"Fjórgangur V5","raslisti_birtur":1},{"flokksteg":"Unglingaflokkur","hond":"V","keppni":"Forkeppni","keppnisgrein":"Fjórgangur V5","raslisti_birtur":1}]</t>
  </si>
  <si>
    <t>Karin Öberg</t>
  </si>
  <si>
    <t>Svali</t>
  </si>
  <si>
    <t>Svali frá Garðsá</t>
  </si>
  <si>
    <t>IS2011165870</t>
  </si>
  <si>
    <t>Lea Lundin</t>
  </si>
  <si>
    <t>Viðar från Sanda</t>
  </si>
  <si>
    <t>SE2009110190</t>
  </si>
  <si>
    <t>[{"flokksteg":"Unglingaflokkur","hond":"V","keppni":"Forkeppni","keppnisgrein":"Fjórgangur V5","raslisti_birtur":1},{"flokksteg":"Unglingaflokkur","hond":"V","keppni":"B úrslit","keppnisgrein":"Fjórgangur V5","raslisti_birtur":1}]</t>
  </si>
  <si>
    <t>[{"flokksteg":"Unglingaflokkur","hond":"V","keppni":"A úrslit","keppnisgrein":"Fjórgangur V5","raslisti_birtur":1},{"flokksteg":"Unglingaflokkur","hond":"H","keppni":"Forkeppni","keppnisgrein":"Fjórgangur V5","raslisti_birtur":1}]</t>
  </si>
  <si>
    <t>[{"flokksteg":"Fullorðinsflokkur","hond":"H","keppni":"Forkeppni","keppnisgrein":"Fjórgangur V5","raslisti_birtur":1},{"flokksteg":"Fullorðinsflokkur","hond":"V","keppni":"A úrslit","keppnisgrein":"Fjórgangur V5","raslisti_birtur":1}]</t>
  </si>
  <si>
    <t>[{"flokksteg":"Unglingaflokkur","hond":"V","keppni":"Forkeppni","keppnisgrein":"Fjórgangur V5","raslisti_birtur":1},{"flokksteg":"Unglingaflokkur","hond":"V","keppni":"A úrslit","keppnisgrein":"Fjórgangur V5","raslisti_birtur":1}]</t>
  </si>
  <si>
    <t>Molly Öberg</t>
  </si>
  <si>
    <t>Lótus</t>
  </si>
  <si>
    <t>Lótus från Ödegården</t>
  </si>
  <si>
    <t>SE2015170072</t>
  </si>
  <si>
    <t>[{"flokksteg":"Fullorðinsflokkur","hond":"V","keppni":"Forkeppni","keppnisgrein":"Fimmgangur F1","raslisti_birtur":1},{"flokksteg":"Fullorðinsflokkur","hond":"V","keppni":"A úrslit","keppnisgrein":"Fimmgangur F1","raslisti_birtur":1}]</t>
  </si>
  <si>
    <t>[{"flokksteg":"Fullorðinsflokkur","hond":"H","keppni":"Forkeppni","keppnisgrein":"Fimmgangur F1","raslisti_birtur":1}]</t>
  </si>
  <si>
    <t>Solveig Arnadottir</t>
  </si>
  <si>
    <t>Daðri</t>
  </si>
  <si>
    <t>Daðri från Toftaåsen</t>
  </si>
  <si>
    <t>SE2016170971</t>
  </si>
  <si>
    <t>[{"flokksteg":"Fullorðinsflokkur","hond":"V","keppni":"A úrslit","keppnisgrein":"Fjórgangur V2","raslisti_birtur":1},{"flokksteg":"Fullorðinsflokkur","hond":"V","keppni":"Forkeppni","keppnisgrein":"Fjórgangur V2","raslisti_birtur":1}]</t>
  </si>
  <si>
    <t>2026-02-08T10:48:33.118Z</t>
  </si>
  <si>
    <t>[{"flokksteg":"Ungmennaflokkur","hond":"H","keppni":"Forkeppni","keppnisgrein":"Fjórgangur V5","raslisti_birtur":0},{"flokksteg":"Ungmennaflokkur","hond":"H","keppni":"Forkeppni","keppnisgrein":"Tölt T8","raslisti_birtur":0}]</t>
  </si>
  <si>
    <t>[{"flokksteg":"Fullorðinsflokkur - Meistaraflokkur","hond":"H","keppni":"Forkeppni","keppnisgrein":"Tölt T8","raslisti_birtur":0},{"flokksteg":"Fullorðinsflokkur - Meistaraflokkur","hond":"H","keppni":"Forkeppni","keppnisgrein":"Tölt T3","raslisti_birtur":0}]</t>
  </si>
  <si>
    <t>[{"flokksteg":"Unglingaflokkur","hond":"H","keppni":"Forkeppni","keppnisgrein":"Fjórgangur V5","raslisti_birtur":0},{"flokksteg":"Unglingaflokkur","hond":"V","keppni":"Forkeppni","keppnisgrein":"Tölt T8","raslisti_birtur":0}]</t>
  </si>
  <si>
    <t>Lovisa Manninen</t>
  </si>
  <si>
    <t>Sigur Islandshästförening</t>
  </si>
  <si>
    <t>[{"flokksteg":"Fullorðinsflokkur","hond":"H","keppni":"Forkeppni","keppnisgrein":"Tölt T8","raslisti_birtur":0},{"flokksteg":"Fullorðinsflokkur - Meistaraflokkur","hond":"V","keppni":"Forkeppni","keppnisgrein":"Fimmgangur F2","raslisti_birtur":0}]</t>
  </si>
  <si>
    <t>2026-02-08T10:49:57.469Z</t>
  </si>
  <si>
    <t>2026-02-08T10:51:14.929Z</t>
  </si>
  <si>
    <t>2026-02-08T11:28:24.455Z</t>
  </si>
  <si>
    <t>Harpa Dögg Bergmann Heiðarsdóttir</t>
  </si>
  <si>
    <t>Hrynjandi frá Kviku</t>
  </si>
  <si>
    <t>IS2017101841</t>
  </si>
  <si>
    <t>Snæfellingur</t>
  </si>
  <si>
    <t xml:space="preserve">Rauður/sót- stjörnótt  </t>
  </si>
  <si>
    <t>Lea Christine Busch</t>
  </si>
  <si>
    <t>Pálmi</t>
  </si>
  <si>
    <t>Pálmi frá Þúfum</t>
  </si>
  <si>
    <t>IS2018158170</t>
  </si>
  <si>
    <t xml:space="preserve">Jarpur/dökk- einlitt  </t>
  </si>
  <si>
    <t>[{"flokksteg":"Fullorðinsflokkur - Meistaraflokkur","hond":"V","keppni":"Forkeppni","keppnisgrein":"Fjórgangur V1","raslisti_birtur":0}]</t>
  </si>
  <si>
    <t>2026-02-08T11:29:07.412Z</t>
  </si>
  <si>
    <t>[{"flokksteg":"Fullorðinsflokkur - Meistaraflokkur","hond":"V","keppni":"Forkeppni","keppnisgrein":"Fimmgangur F2","raslisti_birtur":0},{"flokksteg":"Ungmennaflokkur","hond":"H","keppni":"Forkeppni","keppnisgrein":"Tölt T8","raslisti_birtur":0}]</t>
  </si>
  <si>
    <t>[{"flokksteg":"Fullorðinsflokkur - Meistaraflokkur","hond":"V","keppni":"Forkeppni","keppnisgrein":"Fimmgangur F2","raslisti_birtur":0},{"flokksteg":"Fullorðinsflokkur - Meistaraflokkur","hond":"V","keppni":"Forkeppni","keppnisgrein":"Tölt T3","raslisti_birtur":0}]</t>
  </si>
  <si>
    <t>Hedda Gustafsson</t>
  </si>
  <si>
    <t>Okra</t>
  </si>
  <si>
    <t>Okra från Mörtö</t>
  </si>
  <si>
    <t>SE2014206598</t>
  </si>
  <si>
    <t>[{"flokksteg":"Ungmennaflokkur","hond":"H","keppni":"Forkeppni","keppnisgrein":"Tölt T8","raslisti_birtur":0},{"flokksteg":"Fullorðinsflokkur - Meistaraflokkur","hond":"H","keppni":"Forkeppni","keppnisgrein":"Tölt T3","raslisti_birtur":0}]</t>
  </si>
  <si>
    <t>Jannicke Rydevik</t>
  </si>
  <si>
    <t>Haukur</t>
  </si>
  <si>
    <t>Haukur frá Húsavík</t>
  </si>
  <si>
    <t>IS2012166965</t>
  </si>
  <si>
    <t>[{"flokksteg":"Fullorðinsflokkur - Meistaraflokkur","hond":"H","keppni":"Forkeppni","keppnisgrein":"Fjórgangur V5","raslisti_birtur":0}]</t>
  </si>
  <si>
    <t>Dís från HagaNäs</t>
  </si>
  <si>
    <t>SE2020228014</t>
  </si>
  <si>
    <t>[{"flokksteg":"Fullorðinsflokkur - Meistaraflokkur","hond":"H","keppni":"Forkeppni","keppnisgrein":"Fjórgangur V2","raslisti_birtur":0},{"flokksteg":"Fullorðinsflokkur - Meistaraflokkur","hond":"H","keppni":"Forkeppni","keppnisgrein":"Tölt T3","raslisti_birtur":0}]</t>
  </si>
  <si>
    <t>[{"flokksteg":"Ungmennaflokkur","hond":"V","keppni":"Forkeppni","keppnisgrein":"Fjórgangur V5","raslisti_birtur":0},{"flokksteg":"Ungmennaflokkur","hond":"H","keppni":"Forkeppni","keppnisgrein":"Tölt T8","raslisti_birtur":0}]</t>
  </si>
  <si>
    <t>[{"flokksteg":"Fullorðinsflokkur - Meistaraflokkur","hond":"V","keppni":"Forkeppni","keppnisgrein":"Fjórgangur V5","raslisti_birtur":0},{"flokksteg":"Fullorðinsflokkur - Meistaraflokkur","hond":"V","keppni":"Forkeppni","keppnisgrein":"Tölt T3","raslisti_birtur":0}]</t>
  </si>
  <si>
    <t>2026-02-08T11:30:19.387Z</t>
  </si>
  <si>
    <t>Ewa Fredriksson</t>
  </si>
  <si>
    <t>Dalí Draumsson</t>
  </si>
  <si>
    <t>Dalí Draumsson från Lunden</t>
  </si>
  <si>
    <t>SE2016170721</t>
  </si>
  <si>
    <t>[{"flokksteg":"Fullorðinsflokkur - Meistaraflokkur","hond":"V","keppni":"Forkeppni","keppnisgrein":"Fjórgangur V5","raslisti_birtur":0}]</t>
  </si>
  <si>
    <t>2026-02-08T12:45:01.531Z</t>
  </si>
  <si>
    <t>Barbara Wenzl</t>
  </si>
  <si>
    <t>Kná</t>
  </si>
  <si>
    <t>Kná frá Engihlíð</t>
  </si>
  <si>
    <t>IS2012258321</t>
  </si>
  <si>
    <t>2026-02-08T12:46:20.410Z</t>
  </si>
  <si>
    <t>Amalia Almroth</t>
  </si>
  <si>
    <t>Kóngur</t>
  </si>
  <si>
    <t>Kóngur frá Hellatúni</t>
  </si>
  <si>
    <t>IS2009181394</t>
  </si>
  <si>
    <t>Kraftur Islandshästförening</t>
  </si>
  <si>
    <t>[{"flokksteg":"Fullorðinsflokkur","hond":"V","keppni":"Forkeppni","keppnisgrein":"Tölt T8","raslisti_birtur":0},{"flokksteg":"Fullorðinsflokkur","hond":"V","keppni":"Forkeppni","keppnisgrein":"Fjórgangur V2","raslisti_birtur":0}]</t>
  </si>
  <si>
    <t>Camilla Almroth</t>
  </si>
  <si>
    <t>Maron</t>
  </si>
  <si>
    <t>Maron från Adalgården</t>
  </si>
  <si>
    <t>SE2017130897</t>
  </si>
  <si>
    <t>[{"flokksteg":"Fullorðinsflokkur","hond":"V","keppni":"Forkeppni","keppnisgrein":"Tölt T8","raslisti_birtur":0},{"flokksteg":"Fullorðinsflokkur","hond":"V","keppni":"Forkeppni","keppnisgrein":"Tölt T3","raslisti_birtur":0}]</t>
  </si>
  <si>
    <t>Ellen Jonsson</t>
  </si>
  <si>
    <t>Hylling</t>
  </si>
  <si>
    <t>Hylling frá Kotlaugum</t>
  </si>
  <si>
    <t>IS2009288273</t>
  </si>
  <si>
    <t>Vallholt Islandshästförening</t>
  </si>
  <si>
    <t xml:space="preserve">Jarpur/ljós einlitt  </t>
  </si>
  <si>
    <t>[{"flokksteg":"Fullorðinsflokkur","hond":"V","keppni":"Forkeppni","keppnisgrein":"Tölt T8","raslisti_birtur":0},{"flokksteg":"Fullorðinsflokkur","hond":"V","keppni":"Forkeppni","keppnisgrein":"Tölt T4","raslisti_birtur":0}]</t>
  </si>
  <si>
    <t>Ingrid Fagerström</t>
  </si>
  <si>
    <t>Dani</t>
  </si>
  <si>
    <t>Dani fra Dalsgaard Have</t>
  </si>
  <si>
    <t>DK2015100133</t>
  </si>
  <si>
    <t xml:space="preserve">Jarpur/rauð- einlitt  </t>
  </si>
  <si>
    <t>[{"flokksteg":"Fullorðinsflokkur","hond":"V","keppni":"Forkeppni","keppnisgrein":"Fjórgangur V5","raslisti_birtur":0},{"flokksteg":"Fullorðinsflokkur","hond":"H","keppni":"Forkeppni","keppnisgrein":"Tölt T8","raslisti_birtur":0}]</t>
  </si>
  <si>
    <t>Jenny Forselius</t>
  </si>
  <si>
    <t>Glámur</t>
  </si>
  <si>
    <t>Glámur frá Giljum</t>
  </si>
  <si>
    <t>IS2018135167</t>
  </si>
  <si>
    <t>Vindóttur/mó blesa auk leista eða sokka hringeygt eða glaseygt</t>
  </si>
  <si>
    <t>Klara Croneström</t>
  </si>
  <si>
    <t>Gjafar</t>
  </si>
  <si>
    <t>Gjafar från Stångby</t>
  </si>
  <si>
    <t>SE2010102542</t>
  </si>
  <si>
    <t>Saga Jonsson</t>
  </si>
  <si>
    <t>Tindra</t>
  </si>
  <si>
    <t>Tindra från Vall</t>
  </si>
  <si>
    <t>SE2009210976</t>
  </si>
  <si>
    <t>Sophia Sjöquist</t>
  </si>
  <si>
    <t>Fiðrildi</t>
  </si>
  <si>
    <t>Fiðrildi från Tväråmark</t>
  </si>
  <si>
    <t>SE2013105649</t>
  </si>
  <si>
    <t>Tyra Persson</t>
  </si>
  <si>
    <t>Rökkvadís</t>
  </si>
  <si>
    <t>Rökkvadís från Yre</t>
  </si>
  <si>
    <t>SE2004202880</t>
  </si>
  <si>
    <t>2026-02-08T13:17:44.591Z</t>
  </si>
  <si>
    <t>Benedikt Þór Kristjánsson</t>
  </si>
  <si>
    <t>Tvenna</t>
  </si>
  <si>
    <t>Tvenna frá Vogatungu</t>
  </si>
  <si>
    <t>IS2015235114</t>
  </si>
  <si>
    <t>[{"flokksteg":"Fullorðinsflokkur","hond":"V","keppni":"Forkeppni","keppnisgrein":"Fjórgangur V1","raslisti_birtur":0}]</t>
  </si>
  <si>
    <t>Elvar Logi Friðriksson</t>
  </si>
  <si>
    <t>Evíta</t>
  </si>
  <si>
    <t>Evíta frá Laugarhvammi</t>
  </si>
  <si>
    <t>IS2020257799</t>
  </si>
  <si>
    <t>Eysteinn Tjörvi K. Kristinsson</t>
  </si>
  <si>
    <t>Fortíð</t>
  </si>
  <si>
    <t>Fortíð frá Ketilsstöðum</t>
  </si>
  <si>
    <t>IS2016276174</t>
  </si>
  <si>
    <t>Garðar Hólm Birgisson</t>
  </si>
  <si>
    <t>Kara</t>
  </si>
  <si>
    <t>Kara frá Korpu</t>
  </si>
  <si>
    <t>IS2015201001</t>
  </si>
  <si>
    <t>Glódís Líf Gunnarsdóttir</t>
  </si>
  <si>
    <t>Hekla</t>
  </si>
  <si>
    <t>Hekla frá Hamarsey</t>
  </si>
  <si>
    <t>IS2012282313</t>
  </si>
  <si>
    <t>Guðmar Þór Pétursson</t>
  </si>
  <si>
    <t>Alvar</t>
  </si>
  <si>
    <t>Alvar frá Heimahaga</t>
  </si>
  <si>
    <t>IS2018181845</t>
  </si>
  <si>
    <t>Borgfirðingur</t>
  </si>
  <si>
    <t>Guðný Margrét Siguroddsdóttir</t>
  </si>
  <si>
    <t>Vænting</t>
  </si>
  <si>
    <t>Vænting frá Hrísdal</t>
  </si>
  <si>
    <t>IS2016237732</t>
  </si>
  <si>
    <t>Náttfari</t>
  </si>
  <si>
    <t>Náttfari frá Enni</t>
  </si>
  <si>
    <t>IS2017158440</t>
  </si>
  <si>
    <t>[{"flokksteg":"Fullorðinsflokkur","hond":"H","keppni":"Forkeppni","keppnisgrein":"Fjórgangur V1","raslisti_birtur":0}]</t>
  </si>
  <si>
    <t>Haukur Bjarnason</t>
  </si>
  <si>
    <t>Losti</t>
  </si>
  <si>
    <t>Losti frá Skáney</t>
  </si>
  <si>
    <t>IS2016135810</t>
  </si>
  <si>
    <t>Herdís Lilja Björnsdóttir</t>
  </si>
  <si>
    <t>Kjarnorka</t>
  </si>
  <si>
    <t>Kjarnorka frá Kambi</t>
  </si>
  <si>
    <t>IS2019287462</t>
  </si>
  <si>
    <t>Inga Dís Víkingsdóttir</t>
  </si>
  <si>
    <t>Svarta Rún</t>
  </si>
  <si>
    <t>Svarta Rún frá Kviku</t>
  </si>
  <si>
    <t>IS2018201839</t>
  </si>
  <si>
    <t>Inga Guðrún Halldórsdóttir</t>
  </si>
  <si>
    <t>Vídalín</t>
  </si>
  <si>
    <t>Vídalín frá Tjaldhólum</t>
  </si>
  <si>
    <t>IS2017184814</t>
  </si>
  <si>
    <t>Jóhanna Dýrleif Guðjónsdóttir</t>
  </si>
  <si>
    <t>Fegurð</t>
  </si>
  <si>
    <t>Fegurð frá Skíðbakka III</t>
  </si>
  <si>
    <t>IS2017284502</t>
  </si>
  <si>
    <t>Jón Bjarni Þorvarðarson</t>
  </si>
  <si>
    <t>Drottning frá Bergi</t>
  </si>
  <si>
    <t>IS2016237495</t>
  </si>
  <si>
    <t>Kristín Eir Hauksdóttir Holake</t>
  </si>
  <si>
    <t>Sæld</t>
  </si>
  <si>
    <t>Sæld frá Skáney</t>
  </si>
  <si>
    <t>IS2007235811</t>
  </si>
  <si>
    <t>Lilja María Pálmarsdóttir</t>
  </si>
  <si>
    <t>Eldey</t>
  </si>
  <si>
    <t>Eldey frá Auðkúlu 3</t>
  </si>
  <si>
    <t>IS2014256922</t>
  </si>
  <si>
    <t>Reynir Aðalsteinsson</t>
  </si>
  <si>
    <t>Kraginn</t>
  </si>
  <si>
    <t>Kraginn frá Firði</t>
  </si>
  <si>
    <t>IS2018145306</t>
  </si>
  <si>
    <t>Siguroddur Pétursson</t>
  </si>
  <si>
    <t>Bragi</t>
  </si>
  <si>
    <t>Bragi frá Hrísdal</t>
  </si>
  <si>
    <t>IS2014137732</t>
  </si>
  <si>
    <t>Sindri Sigurðsson</t>
  </si>
  <si>
    <t>Hátindur</t>
  </si>
  <si>
    <t>Hátindur frá Kagaðarhóli</t>
  </si>
  <si>
    <t>IS2014156418</t>
  </si>
  <si>
    <t>Sól Jónsdóttir</t>
  </si>
  <si>
    <t>Mær</t>
  </si>
  <si>
    <t>Mær frá Bergi</t>
  </si>
  <si>
    <t>IS2016237494</t>
  </si>
  <si>
    <t>Tinna Rut Jónsdóttir</t>
  </si>
  <si>
    <t>Melrós</t>
  </si>
  <si>
    <t>Melrós frá Aðalbóli</t>
  </si>
  <si>
    <t>IS2019275237</t>
  </si>
  <si>
    <t>Fáfnir</t>
  </si>
  <si>
    <t>Fáfnir frá Flagbjarnarholti</t>
  </si>
  <si>
    <t>IS2018186651</t>
  </si>
  <si>
    <t>Þorgils Kári Sigurðsson</t>
  </si>
  <si>
    <t>Gramur</t>
  </si>
  <si>
    <t>Gramur frá Syðra-Velli</t>
  </si>
  <si>
    <t>IS2017182810</t>
  </si>
  <si>
    <t xml:space="preserve">Bleikur/fífil- tvístjörnótt  </t>
  </si>
  <si>
    <t>Þórdís Fjeldsteð</t>
  </si>
  <si>
    <t>Mírey</t>
  </si>
  <si>
    <t>Mírey frá Akranesi</t>
  </si>
  <si>
    <t>IS2017235010</t>
  </si>
  <si>
    <t>2026-02-08T14:04:08.654Z</t>
  </si>
  <si>
    <t>Iðunn Svansdóttir</t>
  </si>
  <si>
    <t>Fleygur</t>
  </si>
  <si>
    <t>Fleygur frá Snartartungu</t>
  </si>
  <si>
    <t>IS2017149707</t>
  </si>
  <si>
    <t xml:space="preserve">Rauður/milli- blesa auk leista eða sokka  </t>
  </si>
  <si>
    <t>2026-02-08T14:26:03.311Z</t>
  </si>
  <si>
    <t>Iðunn Lilja Guðmundsdóttir</t>
  </si>
  <si>
    <t>Nasi frá Dunki</t>
  </si>
  <si>
    <t>IS2008138123</t>
  </si>
  <si>
    <t>[{"flokksteg":"Pollaflokkur","hond":"V","keppni":"Forkeppni","keppnisgrein":"Tölt T7","raslisti_birtur":0}]</t>
  </si>
  <si>
    <t>2026-02-08T15:13:30.554Z</t>
  </si>
  <si>
    <t>2026-02-08T15:14:47.114Z</t>
  </si>
  <si>
    <t>[{"flokksteg":"Ungmennaflokkur","hond":"V","keppni":"Forkeppni","keppnisgrein":"Tölt T8","raslisti_birtur":0},{"flokksteg":"Fullorðinsflokkur - Meistaraflokkur","hond":"V","keppni":"Forkeppni","keppnisgrein":"Fjórgangur V2","raslisti_birtur":0}]</t>
  </si>
  <si>
    <t>2026-02-08T15:47:02.647Z</t>
  </si>
  <si>
    <t>[{"flokksteg":"Unglingaflokkur","hond":"V","keppni":"Forkeppni","keppnisgrein":"Tölt T8","raslisti_birtur":0},{"flokksteg":"Unglingaflokkur","hond":"V","keppni":"Forkeppni","keppnisgrein":"Fjórgangur V5","raslisti_birtur":0}]</t>
  </si>
  <si>
    <t>2026-02-08T15:56:54.181Z</t>
  </si>
  <si>
    <t>Lilja Dögg Ágústsdóttir</t>
  </si>
  <si>
    <t>Döggin</t>
  </si>
  <si>
    <t>Döggin frá Eystra-Fróðholti</t>
  </si>
  <si>
    <t>IS2017286179</t>
  </si>
  <si>
    <t>2026-02-13T17:05:47.950Z</t>
  </si>
  <si>
    <t>Alexander Þór Hjaltason</t>
  </si>
  <si>
    <t>Ópera</t>
  </si>
  <si>
    <t>Ópera frá Hestasýn</t>
  </si>
  <si>
    <t>IS2018201127</t>
  </si>
  <si>
    <t>[{"flokksteg":"Barnaflokkur","hond":"H","keppni":"Forkeppni","keppnisgrein":"Fjórgangur V2","raslisti_birtur":0}]</t>
  </si>
  <si>
    <t>Anika Hrund Ómarsdóttir</t>
  </si>
  <si>
    <t>Dáðhugi</t>
  </si>
  <si>
    <t>Dáðhugi frá Álfhólum</t>
  </si>
  <si>
    <t>IS2018184669</t>
  </si>
  <si>
    <t>[{"flokksteg":"Ungmennaflokkur","hond":"V","keppni":"Forkeppni","keppnisgrein":"Fjórgangur V2","raslisti_birtur":0}]</t>
  </si>
  <si>
    <t>Aníta Líf Magnúsdóttir</t>
  </si>
  <si>
    <t>Póker</t>
  </si>
  <si>
    <t>Póker frá Gullbringu</t>
  </si>
  <si>
    <t>IS2018101626</t>
  </si>
  <si>
    <t>[{"flokksteg":"Unglingaflokkur","hond":"V","keppni":"Forkeppni","keppnisgrein":"Fjórgangur V2","raslisti_birtur":0}]</t>
  </si>
  <si>
    <t>[{"flokksteg":"Barnaflokkur","hond":"V","keppni":"Forkeppni","keppnisgrein":"Fjórgangur V2","raslisti_birtur":0}]</t>
  </si>
  <si>
    <t>Skandall</t>
  </si>
  <si>
    <t>Skandall frá Varmalæk 1</t>
  </si>
  <si>
    <t>IS2010152927</t>
  </si>
  <si>
    <t>Brúnn/milli- tvístjörnótt hringeygt eða glaseygt</t>
  </si>
  <si>
    <t>Aryanna Nevaeh Brynjarsdóttir</t>
  </si>
  <si>
    <t>Kraftur</t>
  </si>
  <si>
    <t>Kraftur frá Laufbrekku</t>
  </si>
  <si>
    <t>IS2011186698</t>
  </si>
  <si>
    <t>[{"flokksteg":"Barnaflokkur","hond":"V","keppni":"Forkeppni","keppnisgrein":"Fjórgangur V5","raslisti_birtur":0}]</t>
  </si>
  <si>
    <t>Ása María Hansen</t>
  </si>
  <si>
    <t>Kaðall</t>
  </si>
  <si>
    <t>Kaðall frá Grenjum</t>
  </si>
  <si>
    <t>IS2019136716</t>
  </si>
  <si>
    <t>Ásdís Freyja Andradóttir</t>
  </si>
  <si>
    <t>Dögg</t>
  </si>
  <si>
    <t>Dögg frá Bæ</t>
  </si>
  <si>
    <t>IS2009258096</t>
  </si>
  <si>
    <t>Sóti</t>
  </si>
  <si>
    <t>[{"flokksteg":"Unglingaflokkur","hond":"H","keppni":"Forkeppni","keppnisgrein":"Fjórgangur V5","raslisti_birtur":0}]</t>
  </si>
  <si>
    <t>Ásdís Mist Magnúsdóttir</t>
  </si>
  <si>
    <t>Ágæt</t>
  </si>
  <si>
    <t>Ágæt frá Austurkoti</t>
  </si>
  <si>
    <t>IS2013282650</t>
  </si>
  <si>
    <t>Ásthildur Viktoría Sigurvinsdóttir</t>
  </si>
  <si>
    <t>Hrafn</t>
  </si>
  <si>
    <t>Hrafn frá Eylandi</t>
  </si>
  <si>
    <t>IS2011184084</t>
  </si>
  <si>
    <t>[{"flokksteg":"Unglingaflokkur","hond":"H","keppni":"Forkeppni","keppnisgrein":"Fjórgangur V2","raslisti_birtur":0}]</t>
  </si>
  <si>
    <t>Baldur</t>
  </si>
  <si>
    <t>Baldur frá Margrétarhofi</t>
  </si>
  <si>
    <t>IS2019101033</t>
  </si>
  <si>
    <t>Berglind Björk Atladóttir</t>
  </si>
  <si>
    <t>Dalrós</t>
  </si>
  <si>
    <t>Dalrós frá Hraukbæ</t>
  </si>
  <si>
    <t>IS2014265375</t>
  </si>
  <si>
    <t>Bertha Liv Bergstað</t>
  </si>
  <si>
    <t>Nátthrafn</t>
  </si>
  <si>
    <t>Nátthrafn frá Kjarrhólum</t>
  </si>
  <si>
    <t>IS2013101256</t>
  </si>
  <si>
    <t xml:space="preserve">Moldóttur/d./draug einlitt  </t>
  </si>
  <si>
    <t>Birkir Snær Sigurðsson</t>
  </si>
  <si>
    <t>Laufi</t>
  </si>
  <si>
    <t>Laufi frá Syðri-Völlum</t>
  </si>
  <si>
    <t>IS2006155901</t>
  </si>
  <si>
    <t xml:space="preserve">Rauður/dökk/dr. einlitt  </t>
  </si>
  <si>
    <t>Bjarndís Rut Ragnarsdóttir</t>
  </si>
  <si>
    <t>Ballerína</t>
  </si>
  <si>
    <t>Ballerína frá Hafnarfirði</t>
  </si>
  <si>
    <t>IS2013225414</t>
  </si>
  <si>
    <t>[{"flokksteg":"Ungmennaflokkur","hond":"H","keppni":"Forkeppni","keppnisgrein":"Fjórgangur V2","raslisti_birtur":0}]</t>
  </si>
  <si>
    <t>Björney Anna Aronsdóttir</t>
  </si>
  <si>
    <t>Hljómur</t>
  </si>
  <si>
    <t>Hljómur frá Borgarlandi</t>
  </si>
  <si>
    <t>IS2018137219</t>
  </si>
  <si>
    <t>[{"flokksteg":"Unglingaflokkur","hond":"V","keppni":"Forkeppni","keppnisgrein":"Fjórgangur V5","raslisti_birtur":0}]</t>
  </si>
  <si>
    <t>Bryanna Heaven Brynjarsdóttir</t>
  </si>
  <si>
    <t>Saga</t>
  </si>
  <si>
    <t>Saga frá Dalsholti</t>
  </si>
  <si>
    <t>IS2010201187</t>
  </si>
  <si>
    <t xml:space="preserve">Brúnn/dökk/sv. stjörnótt  </t>
  </si>
  <si>
    <t>Magni frá Kaldbak</t>
  </si>
  <si>
    <t>IS2010186295</t>
  </si>
  <si>
    <t>[]</t>
  </si>
  <si>
    <t>Camilla Dís Ívarsd. Sampsted</t>
  </si>
  <si>
    <t>Leiftur</t>
  </si>
  <si>
    <t>Leiftur frá Vesturkoti</t>
  </si>
  <si>
    <t>IS2018187819</t>
  </si>
  <si>
    <t>Díana Ösp Káradóttir</t>
  </si>
  <si>
    <t>Kappi frá Sámsstöðum</t>
  </si>
  <si>
    <t>IS2018164512</t>
  </si>
  <si>
    <t>Brimfaxi</t>
  </si>
  <si>
    <t>Elena Ást Einarsdóttir</t>
  </si>
  <si>
    <t>Sól</t>
  </si>
  <si>
    <t>Sól frá Stokkhólma</t>
  </si>
  <si>
    <t>IS2013258988</t>
  </si>
  <si>
    <t>Eliza-Maria Grebenisan</t>
  </si>
  <si>
    <t>Garún frá Hábæ</t>
  </si>
  <si>
    <t>IS2019286481</t>
  </si>
  <si>
    <t>Embla Sirén Matthíasdóttir</t>
  </si>
  <si>
    <t>Sveindís</t>
  </si>
  <si>
    <t>Sveindís frá Auðsholtshjáleigu</t>
  </si>
  <si>
    <t>IS2017287055</t>
  </si>
  <si>
    <t>Gróði</t>
  </si>
  <si>
    <t>Gróði frá Naustum</t>
  </si>
  <si>
    <t>IS2006137335</t>
  </si>
  <si>
    <t>Embla Ýr Leósdóttir Noack</t>
  </si>
  <si>
    <t>Hempa</t>
  </si>
  <si>
    <t>Hempa frá Stað</t>
  </si>
  <si>
    <t>IS2014225692</t>
  </si>
  <si>
    <t>[{"flokksteg":"Barnaflokkur","hond":"H","keppni":"Forkeppni","keppnisgrein":"Fjórgangur V5","raslisti_birtur":0}]</t>
  </si>
  <si>
    <t>Emilía Íris Ívarsd. Sampsted</t>
  </si>
  <si>
    <t>Kostur</t>
  </si>
  <si>
    <t>Kostur frá Egilsá</t>
  </si>
  <si>
    <t>IS2016158955</t>
  </si>
  <si>
    <t>Emma Rún Arnardóttir</t>
  </si>
  <si>
    <t>Gletta</t>
  </si>
  <si>
    <t>Gletta frá Eystra-Fróðholti</t>
  </si>
  <si>
    <t>IS2017286184</t>
  </si>
  <si>
    <t>Emma Rún Sigurðardóttir</t>
  </si>
  <si>
    <t>Valíant frá Efra-Langholti</t>
  </si>
  <si>
    <t>IS2019188227</t>
  </si>
  <si>
    <t>Jökull</t>
  </si>
  <si>
    <t>Kjarkur</t>
  </si>
  <si>
    <t>Kjarkur frá Kotlaugum</t>
  </si>
  <si>
    <t>IS2012188272</t>
  </si>
  <si>
    <t>Erlín Hrefna Arnarsdóttir</t>
  </si>
  <si>
    <t>Ástríkur</t>
  </si>
  <si>
    <t>Ástríkur frá Traðarlandi</t>
  </si>
  <si>
    <t>IS2013180325</t>
  </si>
  <si>
    <t>Mjölnir</t>
  </si>
  <si>
    <t>Mjölnir frá Kolsholti 3</t>
  </si>
  <si>
    <t>IS2010187699</t>
  </si>
  <si>
    <t>Ernir Steinn Gunnarsson</t>
  </si>
  <si>
    <t>Fróði frá Sörlahúsum</t>
  </si>
  <si>
    <t>IS2014101950</t>
  </si>
  <si>
    <t xml:space="preserve">Rauður/milli- stjarna,nös eða tvístj. auk leista eða sokka  </t>
  </si>
  <si>
    <t>Eva Dalrós Haraldsdóttir</t>
  </si>
  <si>
    <t>Alfa frá Árbæjarhjáleigu II</t>
  </si>
  <si>
    <t>IS2014286764</t>
  </si>
  <si>
    <t>Rauður/milli- stjörnótt glófext</t>
  </si>
  <si>
    <t>Ester</t>
  </si>
  <si>
    <t>Ester frá Mosfellsbæ</t>
  </si>
  <si>
    <t>IS2006225470</t>
  </si>
  <si>
    <t>Eyvör Sveinbjörnsdóttir</t>
  </si>
  <si>
    <t>Skál</t>
  </si>
  <si>
    <t>Skál frá Skör</t>
  </si>
  <si>
    <t>IS2012201487</t>
  </si>
  <si>
    <t>Hvinur</t>
  </si>
  <si>
    <t>Hvinur frá Hveravík</t>
  </si>
  <si>
    <t>IS2017149028</t>
  </si>
  <si>
    <t>Freyja Bjarney Örvarsdóttir</t>
  </si>
  <si>
    <t>Sóldís</t>
  </si>
  <si>
    <t>Sóldís frá Einiholti 2</t>
  </si>
  <si>
    <t>IS2017288792</t>
  </si>
  <si>
    <t>Guðrún Lára Davíðsdóttir</t>
  </si>
  <si>
    <t>Hekla frá Eylandi</t>
  </si>
  <si>
    <t>IS2016284084</t>
  </si>
  <si>
    <t>Hafdís Járnbrá Atladóttir</t>
  </si>
  <si>
    <t>Asi</t>
  </si>
  <si>
    <t>Asi frá Vatnshóli</t>
  </si>
  <si>
    <t>IS2013155496</t>
  </si>
  <si>
    <t>Harpa Rún Sveinbjörnsdóttir</t>
  </si>
  <si>
    <t>Gyllir frá Oddgeirshólum</t>
  </si>
  <si>
    <t>IS2017187426</t>
  </si>
  <si>
    <t xml:space="preserve">Leirljós/Hvítur/dökk- tvístjörnótt  </t>
  </si>
  <si>
    <t>Hákon Þór Kristinsson</t>
  </si>
  <si>
    <t>Tenór</t>
  </si>
  <si>
    <t>Tenór frá Litlu-Sandvík</t>
  </si>
  <si>
    <t>IS2012187592</t>
  </si>
  <si>
    <t>Heiðný Edda W. Gunnarsdóttir</t>
  </si>
  <si>
    <t>Máni frá Eyrarbakka</t>
  </si>
  <si>
    <t>IS2018182322</t>
  </si>
  <si>
    <t>Helga Katrín Grímsdóttir</t>
  </si>
  <si>
    <t>Spá</t>
  </si>
  <si>
    <t>Spá frá Hafnarfirði</t>
  </si>
  <si>
    <t>IS2008225556</t>
  </si>
  <si>
    <t>Helga Rún Sigurðardóttir</t>
  </si>
  <si>
    <t>Flipi</t>
  </si>
  <si>
    <t>Flipi frá Bergsstöðum Vatnsnesi</t>
  </si>
  <si>
    <t>IS2008155420</t>
  </si>
  <si>
    <t xml:space="preserve">Bleikur/fífil- blesa auk leista eða sokka  </t>
  </si>
  <si>
    <t>Sólroði</t>
  </si>
  <si>
    <t>Sólroði frá Mykjunesi</t>
  </si>
  <si>
    <t>IS2020186960</t>
  </si>
  <si>
    <t>Hjördís Antonía Andradóttir</t>
  </si>
  <si>
    <t>Ágúst</t>
  </si>
  <si>
    <t>Ágúst frá Oddhóli</t>
  </si>
  <si>
    <t>IS2018186055</t>
  </si>
  <si>
    <t>Hrafnar Freyr Leósson</t>
  </si>
  <si>
    <t>Meyvant</t>
  </si>
  <si>
    <t>Meyvant frá Álfhólum</t>
  </si>
  <si>
    <t>IS2017184669</t>
  </si>
  <si>
    <t>Hrafndís Alda Jensdóttir</t>
  </si>
  <si>
    <t>Dagnýr</t>
  </si>
  <si>
    <t>Dagnýr frá Dalbæ</t>
  </si>
  <si>
    <t>IS2017187721</t>
  </si>
  <si>
    <t>Hrafnhildur Rán Elvarsdóttir</t>
  </si>
  <si>
    <t>Perla</t>
  </si>
  <si>
    <t>Perla frá Völlum</t>
  </si>
  <si>
    <t>IS2015257484</t>
  </si>
  <si>
    <t>Hringur</t>
  </si>
  <si>
    <t>Hrefna Kristín Ómarsdóttir</t>
  </si>
  <si>
    <t>Aðventa</t>
  </si>
  <si>
    <t>Aðventa frá Víðidal</t>
  </si>
  <si>
    <t>IS2014257645</t>
  </si>
  <si>
    <t>Ljúfur</t>
  </si>
  <si>
    <t xml:space="preserve">Grár/jarpur einlitt  </t>
  </si>
  <si>
    <t>Hulda Ingadóttir</t>
  </si>
  <si>
    <t>Bliki frá Eystri-Hól</t>
  </si>
  <si>
    <t>IS2013180469</t>
  </si>
  <si>
    <t>Íris Thelma Halldórsdóttir</t>
  </si>
  <si>
    <t>Runi frá Reykjavík</t>
  </si>
  <si>
    <t>IS2018125326</t>
  </si>
  <si>
    <t>Sigurósk</t>
  </si>
  <si>
    <t>Sigurósk frá Reykjavík</t>
  </si>
  <si>
    <t>IS2019225205</t>
  </si>
  <si>
    <t>Bylur</t>
  </si>
  <si>
    <t>Bylur frá Grund</t>
  </si>
  <si>
    <t>IS2016137300</t>
  </si>
  <si>
    <t>Jóhanna Lea Hjaltadóttir</t>
  </si>
  <si>
    <t>Tónn</t>
  </si>
  <si>
    <t>Tónn frá Hestasýn</t>
  </si>
  <si>
    <t>IS2014101127</t>
  </si>
  <si>
    <t>Jón Guðmundsson</t>
  </si>
  <si>
    <t>Pabbastelpa</t>
  </si>
  <si>
    <t>Pabbastelpa frá Ásmundarstöðum 3</t>
  </si>
  <si>
    <t>IS2015286587</t>
  </si>
  <si>
    <t>Tvístjarna frá Ásmundarstöðum 3</t>
  </si>
  <si>
    <t>IS2020286587</t>
  </si>
  <si>
    <t xml:space="preserve">Brúnn/dökk/sv. tvístjörnótt  </t>
  </si>
  <si>
    <t>Júlía Björg Gabaj Knudsen</t>
  </si>
  <si>
    <t>Medína</t>
  </si>
  <si>
    <t>Medína frá Ármóti</t>
  </si>
  <si>
    <t>IS2017286132</t>
  </si>
  <si>
    <t>Júlía Marín Jónsdóttir</t>
  </si>
  <si>
    <t>Gloría</t>
  </si>
  <si>
    <t>Gloría frá Meðalfelli</t>
  </si>
  <si>
    <t>IS2017225088</t>
  </si>
  <si>
    <t>Jökull Myrkvi Haraldsson</t>
  </si>
  <si>
    <t>Smyrill</t>
  </si>
  <si>
    <t>Smyrill frá Vorsabæ II</t>
  </si>
  <si>
    <t>IS2011187982</t>
  </si>
  <si>
    <t>Kamilla Nótt Jónsdóttir</t>
  </si>
  <si>
    <t>Hildur</t>
  </si>
  <si>
    <t>Hildur frá Grindavík</t>
  </si>
  <si>
    <t>IS2011225776</t>
  </si>
  <si>
    <t>Karítas Hlíf F. Friðriksdóttir</t>
  </si>
  <si>
    <t>Sýn frá Bergi</t>
  </si>
  <si>
    <t>IS2017237487</t>
  </si>
  <si>
    <t>Katla Dís Hannesdóttir</t>
  </si>
  <si>
    <t>Sigurpáll</t>
  </si>
  <si>
    <t>Sigurpáll frá Varmalandi</t>
  </si>
  <si>
    <t>IS2018157367</t>
  </si>
  <si>
    <t>Katla Sif Ketilsdóttir</t>
  </si>
  <si>
    <t>Biskup</t>
  </si>
  <si>
    <t>Biskup frá Sigmundarstöðum</t>
  </si>
  <si>
    <t>IS2001135951</t>
  </si>
  <si>
    <t>Katrín Diljá Andradóttir</t>
  </si>
  <si>
    <t>Valur</t>
  </si>
  <si>
    <t>Valur frá Brekkubæ</t>
  </si>
  <si>
    <t>IS2017137199</t>
  </si>
  <si>
    <t>Kári Sveinbjörnsson</t>
  </si>
  <si>
    <t>IS2016186193</t>
  </si>
  <si>
    <t>Kristín Elka Svansdóttir</t>
  </si>
  <si>
    <t>Upprisa</t>
  </si>
  <si>
    <t>Upprisa frá Efri-Þverá</t>
  </si>
  <si>
    <t>IS2017255253</t>
  </si>
  <si>
    <t>Lilja Berg Sigurðardóttir</t>
  </si>
  <si>
    <t>Haukur frá Bergi</t>
  </si>
  <si>
    <t>IS2016137483</t>
  </si>
  <si>
    <t>Lilja Guðrún Gunnarsdóttir</t>
  </si>
  <si>
    <t>Hátíð</t>
  </si>
  <si>
    <t>Hátíð frá Söðulsholti</t>
  </si>
  <si>
    <t>IS2013237855</t>
  </si>
  <si>
    <t>Þula</t>
  </si>
  <si>
    <t>Þula frá Syðstu-Fossum</t>
  </si>
  <si>
    <t>IS2013235544</t>
  </si>
  <si>
    <t>Linda Guðbjörg Friðriksdóttir</t>
  </si>
  <si>
    <t>Roði</t>
  </si>
  <si>
    <t>Roði frá Hala</t>
  </si>
  <si>
    <t>IS2009186404</t>
  </si>
  <si>
    <t>Líf Einarsdóttir Isenbuegel</t>
  </si>
  <si>
    <t>Neisti</t>
  </si>
  <si>
    <t>Neisti frá Hrafnsholti</t>
  </si>
  <si>
    <t>IS2019187404</t>
  </si>
  <si>
    <t>Magdalena Ísold Andradóttir</t>
  </si>
  <si>
    <t>Blæja</t>
  </si>
  <si>
    <t>Blæja frá Hafnarfirði</t>
  </si>
  <si>
    <t>IS2013225419</t>
  </si>
  <si>
    <t>Milda Peseckaite</t>
  </si>
  <si>
    <t>Eyða</t>
  </si>
  <si>
    <t>Eyða frá Halakoti</t>
  </si>
  <si>
    <t>IS2012282450</t>
  </si>
  <si>
    <t>Milla Logan</t>
  </si>
  <si>
    <t>Seifur</t>
  </si>
  <si>
    <t>Seifur frá Brekkubæ</t>
  </si>
  <si>
    <t>IS2015137199</t>
  </si>
  <si>
    <t>Móeiður Valgarðsdóttir</t>
  </si>
  <si>
    <t>Heljar</t>
  </si>
  <si>
    <t>Heljar frá Fákshólum</t>
  </si>
  <si>
    <t>IS2013181421</t>
  </si>
  <si>
    <t>Nadía Líf Kazberuk</t>
  </si>
  <si>
    <t>Sigurey</t>
  </si>
  <si>
    <t>Sigurey frá Flekkudal</t>
  </si>
  <si>
    <t>IS2010225046</t>
  </si>
  <si>
    <t>Olav Svavar Stiansen</t>
  </si>
  <si>
    <t>Gæfa</t>
  </si>
  <si>
    <t>Gæfa frá Áslandi</t>
  </si>
  <si>
    <t>IS2019255652</t>
  </si>
  <si>
    <t xml:space="preserve">Jarpur/milli- tvístjörnótt  </t>
  </si>
  <si>
    <t>Oliver Sirén Matthíasson</t>
  </si>
  <si>
    <t>Öfgi</t>
  </si>
  <si>
    <t>Öfgi frá Káratanga</t>
  </si>
  <si>
    <t>IS2015184309</t>
  </si>
  <si>
    <t>Ólavía Ósk Gunnarsdóttir</t>
  </si>
  <si>
    <t>Kató</t>
  </si>
  <si>
    <t>Kató frá Litlu-Brekku</t>
  </si>
  <si>
    <t>IS2014165003</t>
  </si>
  <si>
    <t>Ómar Björn Valdimarsson</t>
  </si>
  <si>
    <t>Arna</t>
  </si>
  <si>
    <t>Arna frá Mýrarkoti</t>
  </si>
  <si>
    <t>IS2014288843</t>
  </si>
  <si>
    <t>Patrekur Magnús Halldórsson</t>
  </si>
  <si>
    <t>Sólvar</t>
  </si>
  <si>
    <t>Sólvar frá Lynghóli</t>
  </si>
  <si>
    <t>IS2005182500</t>
  </si>
  <si>
    <t>Rafn Alexander M. Gunnarsson</t>
  </si>
  <si>
    <t>Aría frá Vindási</t>
  </si>
  <si>
    <t>IS2016286166</t>
  </si>
  <si>
    <t>Ragnar Bjarki Sveinbjörnsson</t>
  </si>
  <si>
    <t>Muninn</t>
  </si>
  <si>
    <t>Muninn frá Bergi</t>
  </si>
  <si>
    <t>IS2013137486</t>
  </si>
  <si>
    <t>Mánasteinn</t>
  </si>
  <si>
    <t>Mánasteinn frá Vöðlum</t>
  </si>
  <si>
    <t>IS2020186731</t>
  </si>
  <si>
    <t>Sigríður Fjóla Aradóttir</t>
  </si>
  <si>
    <t>Kilja</t>
  </si>
  <si>
    <t>Kilja frá Korpu</t>
  </si>
  <si>
    <t>IS2018201002</t>
  </si>
  <si>
    <t>Sigrún Björk Björnsdóttir</t>
  </si>
  <si>
    <t>Elva</t>
  </si>
  <si>
    <t>Elva frá Staðarhofi</t>
  </si>
  <si>
    <t>IS2015257644</t>
  </si>
  <si>
    <t>Sigrún Freyja Einarsdóttir</t>
  </si>
  <si>
    <t>Silfurtoppur</t>
  </si>
  <si>
    <t>Silfurtoppur frá Kópavogi</t>
  </si>
  <si>
    <t>IS2014125613</t>
  </si>
  <si>
    <t>Sigurbjörg Helgadóttir</t>
  </si>
  <si>
    <t>Skuggabaldur</t>
  </si>
  <si>
    <t>Skuggabaldur frá Stórhólma</t>
  </si>
  <si>
    <t>IS2018182866</t>
  </si>
  <si>
    <t>Sólon</t>
  </si>
  <si>
    <t>Sólon frá Sælukoti</t>
  </si>
  <si>
    <t>IS2017186787</t>
  </si>
  <si>
    <t>Sigurður Ingvarsson</t>
  </si>
  <si>
    <t>Liljar</t>
  </si>
  <si>
    <t>Liljar frá Varmalandi</t>
  </si>
  <si>
    <t>IS2015157368</t>
  </si>
  <si>
    <t>Sigurey María Eyjalínardóttir</t>
  </si>
  <si>
    <t>Baugi</t>
  </si>
  <si>
    <t>Baugi frá Vík í Mýrdal</t>
  </si>
  <si>
    <t>IS2018185540</t>
  </si>
  <si>
    <t>Snæfríður Ásta Jónasdóttir</t>
  </si>
  <si>
    <t>Feykir</t>
  </si>
  <si>
    <t>Feykir frá Strandarhöfði</t>
  </si>
  <si>
    <t>IS2018184744</t>
  </si>
  <si>
    <t>Sunna María Játvarðsdóttir</t>
  </si>
  <si>
    <t>Gutti</t>
  </si>
  <si>
    <t>Gutti frá Skáney</t>
  </si>
  <si>
    <t>IS2017135807</t>
  </si>
  <si>
    <t>Rauður/milli- skjótt ægishjálmur</t>
  </si>
  <si>
    <t>Svala Björk Hlynsdóttir</t>
  </si>
  <si>
    <t>Eindís</t>
  </si>
  <si>
    <t>Eindís frá Auðsholtshjáleigu</t>
  </si>
  <si>
    <t>IS2015287019</t>
  </si>
  <si>
    <t>Glæða</t>
  </si>
  <si>
    <t>Glæða frá Auðsholtshjáleigu</t>
  </si>
  <si>
    <t>IS2017287017</t>
  </si>
  <si>
    <t>Svava Marý Þorsteinsdóttir</t>
  </si>
  <si>
    <t>Sæmd</t>
  </si>
  <si>
    <t>Sæmd frá Syðra-Langholti</t>
  </si>
  <si>
    <t>IS2020288321</t>
  </si>
  <si>
    <t>Skýr</t>
  </si>
  <si>
    <t>Skýr frá Syðra-Langholti</t>
  </si>
  <si>
    <t>IS2017188322</t>
  </si>
  <si>
    <t>Talía Häsler</t>
  </si>
  <si>
    <t>Vænting frá Auðsholtshjáleigu</t>
  </si>
  <si>
    <t>IS2017287056</t>
  </si>
  <si>
    <t>Tara Lovísa Karlsdóttir</t>
  </si>
  <si>
    <t>Hrímnir frá Hvammi 2</t>
  </si>
  <si>
    <t>IS2011156073</t>
  </si>
  <si>
    <t>Tristan Logi Lavender</t>
  </si>
  <si>
    <t>Svarthöfði</t>
  </si>
  <si>
    <t>Svarthöfði frá Efri-Skálateigi 1</t>
  </si>
  <si>
    <t>IS2018176361</t>
  </si>
  <si>
    <t>Una Björt Valgarðsdóttir</t>
  </si>
  <si>
    <t>Garri</t>
  </si>
  <si>
    <t>Garri frá Strandarhjáleigu</t>
  </si>
  <si>
    <t>IS2006184878</t>
  </si>
  <si>
    <t>Úlfar Logi Gunnarsson</t>
  </si>
  <si>
    <t>Náttar</t>
  </si>
  <si>
    <t>Náttar frá Þingnesi</t>
  </si>
  <si>
    <t>IS2018135501</t>
  </si>
  <si>
    <t>Valdís Anna Valdimarsdóttir</t>
  </si>
  <si>
    <t>Sólbjörg</t>
  </si>
  <si>
    <t>Sólbjörg frá Fagralundi</t>
  </si>
  <si>
    <t>IS2017201281</t>
  </si>
  <si>
    <t>Valdís Eva McCormack</t>
  </si>
  <si>
    <t>Blær</t>
  </si>
  <si>
    <t>Blær frá Söndum</t>
  </si>
  <si>
    <t>IS2019186659</t>
  </si>
  <si>
    <t>Vanessa Hypta</t>
  </si>
  <si>
    <t>Blædís</t>
  </si>
  <si>
    <t>Blædís frá Valshamri</t>
  </si>
  <si>
    <t>IS2014237034</t>
  </si>
  <si>
    <t>Bylur frá Þorláksstöðum</t>
  </si>
  <si>
    <t>IS2015125583</t>
  </si>
  <si>
    <t>Viktor Leifsson</t>
  </si>
  <si>
    <t>Glaður frá Mykjunesi 2</t>
  </si>
  <si>
    <t>IS2009186721</t>
  </si>
  <si>
    <t>Viktoría Huld Hannesdóttir</t>
  </si>
  <si>
    <t>Þinur</t>
  </si>
  <si>
    <t>Þinur frá Enni</t>
  </si>
  <si>
    <t>IS2012158455</t>
  </si>
  <si>
    <t>Hrókur frá Varmalandi</t>
  </si>
  <si>
    <t>IS2018157360</t>
  </si>
  <si>
    <t>Þorgeir Nói Jóhannsson</t>
  </si>
  <si>
    <t>Nína</t>
  </si>
  <si>
    <t>Nína frá Áslandi</t>
  </si>
  <si>
    <t>IS2011255652</t>
  </si>
  <si>
    <t>Þórdís Arnþórsdóttir</t>
  </si>
  <si>
    <t>Flóki</t>
  </si>
  <si>
    <t>Flóki frá Hlíðarbergi</t>
  </si>
  <si>
    <t>IS2015177101</t>
  </si>
  <si>
    <t>mot_numer</t>
  </si>
  <si>
    <t>flokkur_nafn</t>
  </si>
  <si>
    <t>flokkar_numer</t>
  </si>
  <si>
    <t>keppnisgrein</t>
  </si>
  <si>
    <t>keppni</t>
  </si>
  <si>
    <t>keppni_numer</t>
  </si>
  <si>
    <t>keppni_rod</t>
  </si>
  <si>
    <t>rod</t>
  </si>
  <si>
    <t>raslisti_birtur</t>
  </si>
  <si>
    <t>2026-02-08T14:50:47.627Z</t>
  </si>
  <si>
    <t>Unglingaflokkur</t>
  </si>
  <si>
    <t>Fjórgangur V1</t>
  </si>
  <si>
    <t>Forkeppni</t>
  </si>
  <si>
    <t>B úrslit</t>
  </si>
  <si>
    <t>A úrslit</t>
  </si>
  <si>
    <t>2026-02-08T14:56:47.858Z</t>
  </si>
  <si>
    <t>2026-02-08T15:18:34.705Z</t>
  </si>
  <si>
    <t>2026-02-08T15:18:58.633Z</t>
  </si>
  <si>
    <t>2026-02-08T15:40:28.640Z</t>
  </si>
  <si>
    <t>Barnaflokkur</t>
  </si>
  <si>
    <t>Fjórgangur V6</t>
  </si>
  <si>
    <t>2026-02-08T15:41:02.144Z</t>
  </si>
  <si>
    <t>Fjórgangur V5</t>
  </si>
  <si>
    <t>2026-02-08T15:41:40.622Z</t>
  </si>
  <si>
    <t>Fullorðinsflokkur - 3. flokkur</t>
  </si>
  <si>
    <t>2026-02-08T15:42:23.166Z</t>
  </si>
  <si>
    <t>Fullorðinsflokkur - 2. flokkur</t>
  </si>
  <si>
    <t>Fjórgangur 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</si>
</sst>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41"/>
  <sheetViews>
    <sheetView tabSelected="1" zoomScaleNormal="100" workbookViewId="0">
      <selection activeCell="D15" sqref="D15"/>
    </sheetView>
  </sheetViews>
  <sheetFormatPr defaultRowHeight="14.45" customHeight="1" x14ac:dyDescent="0.25"/>
  <cols>
    <col min="1" max="1" width="6" customWidth="1"/>
    <col min="2" max="2" width="8" customWidth="1"/>
    <col min="3" max="4" width="6" customWidth="1"/>
    <col min="5" max="5" width="24" customWidth="1"/>
    <col min="6" max="6" width="14" customWidth="1"/>
    <col min="7" max="7" width="18" customWidth="1"/>
    <col min="8" max="8" width="28" customWidth="1"/>
    <col min="9" max="9" width="20" customWidth="1"/>
    <col min="10" max="10" width="6" customWidth="1"/>
    <col min="11" max="11" width="18" customWidth="1"/>
    <col min="12" max="12" width="10" customWidth="1"/>
    <col min="13" max="13" width="28" customWidth="1"/>
    <col min="14" max="19" width="8" customWidth="1"/>
    <col min="27" max="27" width="21.42578125" customWidth="1"/>
  </cols>
  <sheetData>
    <row r="1" spans="1:56" ht="14.4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</row>
    <row r="2" spans="1:56" ht="15" customHeight="1" x14ac:dyDescent="0.25">
      <c r="A2">
        <v>1</v>
      </c>
      <c r="B2" t="s">
        <v>55</v>
      </c>
      <c r="U2">
        <f>E$2</f>
        <v>0</v>
      </c>
      <c r="V2">
        <f>E$3</f>
        <v>0</v>
      </c>
      <c r="W2">
        <f>E$4</f>
        <v>0</v>
      </c>
      <c r="X2">
        <f>E$5</f>
        <v>0</v>
      </c>
      <c r="Y2">
        <f>E$6</f>
        <v>0</v>
      </c>
      <c r="Z2">
        <f>E$7</f>
        <v>0</v>
      </c>
      <c r="AA2">
        <f>E$8</f>
        <v>0</v>
      </c>
      <c r="AB2">
        <f>H$2</f>
        <v>0</v>
      </c>
      <c r="AC2">
        <f>H$3</f>
        <v>0</v>
      </c>
      <c r="AD2">
        <f>H$4</f>
        <v>0</v>
      </c>
      <c r="AE2">
        <f>H$5</f>
        <v>0</v>
      </c>
      <c r="AF2">
        <f>H$6</f>
        <v>0</v>
      </c>
      <c r="AG2">
        <f>H$7</f>
        <v>0</v>
      </c>
      <c r="AH2">
        <f>H$8</f>
        <v>0</v>
      </c>
      <c r="AI2">
        <f>L$2</f>
        <v>0</v>
      </c>
      <c r="AJ2">
        <f>L$3</f>
        <v>0</v>
      </c>
      <c r="AK2">
        <f>L$4</f>
        <v>0</v>
      </c>
      <c r="AL2">
        <f>L$5</f>
        <v>0</v>
      </c>
      <c r="AM2">
        <f>L$6</f>
        <v>0</v>
      </c>
      <c r="AN2">
        <f>L$7</f>
        <v>0</v>
      </c>
      <c r="AO2">
        <f>L$8</f>
        <v>0</v>
      </c>
      <c r="AP2">
        <v>1</v>
      </c>
      <c r="AQ2">
        <v>2</v>
      </c>
      <c r="AR2">
        <v>3</v>
      </c>
      <c r="AS2">
        <v>4</v>
      </c>
      <c r="AT2">
        <v>5</v>
      </c>
      <c r="AU2">
        <v>6</v>
      </c>
      <c r="AV2">
        <v>7</v>
      </c>
      <c r="AW2" t="s">
        <v>59</v>
      </c>
      <c r="AX2">
        <f>E$2</f>
        <v>0</v>
      </c>
      <c r="AY2">
        <f>E$3</f>
        <v>0</v>
      </c>
      <c r="AZ2">
        <f>E$4</f>
        <v>0</v>
      </c>
      <c r="BA2">
        <f>E$5</f>
        <v>0</v>
      </c>
      <c r="BB2">
        <f>E$6</f>
        <v>0</v>
      </c>
      <c r="BC2">
        <f>E$7</f>
        <v>0</v>
      </c>
      <c r="BD2">
        <f>E$8</f>
        <v>0</v>
      </c>
    </row>
    <row r="3" spans="1:56" ht="15" customHeight="1" x14ac:dyDescent="0.25">
      <c r="A3">
        <v>2</v>
      </c>
      <c r="B3" t="s">
        <v>55</v>
      </c>
      <c r="U3">
        <f>E$9</f>
        <v>0</v>
      </c>
      <c r="V3">
        <f>E$10</f>
        <v>0</v>
      </c>
      <c r="W3">
        <f>E$11</f>
        <v>0</v>
      </c>
      <c r="X3">
        <f>E$12</f>
        <v>0</v>
      </c>
      <c r="Y3">
        <f>E$13</f>
        <v>0</v>
      </c>
      <c r="Z3">
        <f>E$14</f>
        <v>0</v>
      </c>
      <c r="AA3">
        <f>E$15</f>
        <v>0</v>
      </c>
      <c r="AB3">
        <f>H$9</f>
        <v>0</v>
      </c>
      <c r="AC3">
        <f>H$10</f>
        <v>0</v>
      </c>
      <c r="AD3">
        <f>H$11</f>
        <v>0</v>
      </c>
      <c r="AE3">
        <f>H$12</f>
        <v>0</v>
      </c>
      <c r="AF3">
        <f>H$13</f>
        <v>0</v>
      </c>
      <c r="AG3">
        <f>H$14</f>
        <v>0</v>
      </c>
      <c r="AH3">
        <f>H$15</f>
        <v>0</v>
      </c>
      <c r="AI3">
        <f>L$9</f>
        <v>0</v>
      </c>
      <c r="AJ3">
        <f>L$10</f>
        <v>0</v>
      </c>
      <c r="AK3">
        <f>L$11</f>
        <v>0</v>
      </c>
      <c r="AL3">
        <f>L$12</f>
        <v>0</v>
      </c>
      <c r="AM3">
        <f>L$13</f>
        <v>0</v>
      </c>
      <c r="AN3">
        <f>L$14</f>
        <v>0</v>
      </c>
      <c r="AO3">
        <f>L$15</f>
        <v>0</v>
      </c>
      <c r="AP3">
        <v>8</v>
      </c>
      <c r="AQ3">
        <v>9</v>
      </c>
      <c r="AR3">
        <v>10</v>
      </c>
      <c r="AS3">
        <v>11</v>
      </c>
      <c r="AT3">
        <v>12</v>
      </c>
      <c r="AU3">
        <v>13</v>
      </c>
      <c r="AV3">
        <v>14</v>
      </c>
      <c r="AW3" t="s">
        <v>59</v>
      </c>
      <c r="AX3">
        <f>E$9</f>
        <v>0</v>
      </c>
      <c r="AY3">
        <f>E$10</f>
        <v>0</v>
      </c>
      <c r="AZ3">
        <f>E$11</f>
        <v>0</v>
      </c>
      <c r="BA3">
        <f>E$12</f>
        <v>0</v>
      </c>
      <c r="BB3">
        <f>E$13</f>
        <v>0</v>
      </c>
      <c r="BC3">
        <f>E$14</f>
        <v>0</v>
      </c>
      <c r="BD3">
        <f>E$15</f>
        <v>0</v>
      </c>
    </row>
    <row r="4" spans="1:56" ht="15" customHeight="1" x14ac:dyDescent="0.25">
      <c r="A4">
        <v>3</v>
      </c>
      <c r="B4" t="s">
        <v>55</v>
      </c>
      <c r="U4">
        <f>E$16</f>
        <v>0</v>
      </c>
      <c r="V4">
        <f>E$17</f>
        <v>0</v>
      </c>
      <c r="W4">
        <f>E$18</f>
        <v>0</v>
      </c>
      <c r="X4">
        <f>E$19</f>
        <v>0</v>
      </c>
      <c r="Y4">
        <f>E$20</f>
        <v>0</v>
      </c>
      <c r="Z4">
        <f>E$21</f>
        <v>0</v>
      </c>
      <c r="AA4">
        <f>E$22</f>
        <v>0</v>
      </c>
      <c r="AB4">
        <f>H$16</f>
        <v>0</v>
      </c>
      <c r="AC4">
        <f>H$17</f>
        <v>0</v>
      </c>
      <c r="AD4">
        <f>H$18</f>
        <v>0</v>
      </c>
      <c r="AE4">
        <f>H$19</f>
        <v>0</v>
      </c>
      <c r="AF4">
        <f>H$20</f>
        <v>0</v>
      </c>
      <c r="AG4">
        <f>H$21</f>
        <v>0</v>
      </c>
      <c r="AH4">
        <f>H$22</f>
        <v>0</v>
      </c>
      <c r="AI4">
        <f>L$16</f>
        <v>0</v>
      </c>
      <c r="AJ4">
        <f>L$17</f>
        <v>0</v>
      </c>
      <c r="AK4">
        <f>L$18</f>
        <v>0</v>
      </c>
      <c r="AL4">
        <f>L$19</f>
        <v>0</v>
      </c>
      <c r="AM4">
        <f>L$20</f>
        <v>0</v>
      </c>
      <c r="AN4">
        <f>L$21</f>
        <v>0</v>
      </c>
      <c r="AO4">
        <f>L$22</f>
        <v>0</v>
      </c>
      <c r="AP4">
        <v>15</v>
      </c>
      <c r="AQ4">
        <v>16</v>
      </c>
      <c r="AR4">
        <v>17</v>
      </c>
      <c r="AS4">
        <v>18</v>
      </c>
      <c r="AT4">
        <v>19</v>
      </c>
      <c r="AU4">
        <v>20</v>
      </c>
      <c r="AV4">
        <v>21</v>
      </c>
      <c r="AW4" t="s">
        <v>59</v>
      </c>
      <c r="AX4">
        <f>E$16</f>
        <v>0</v>
      </c>
      <c r="AY4">
        <f>E$17</f>
        <v>0</v>
      </c>
      <c r="AZ4">
        <f>E$18</f>
        <v>0</v>
      </c>
      <c r="BA4">
        <f>E$19</f>
        <v>0</v>
      </c>
      <c r="BB4">
        <f>E$20</f>
        <v>0</v>
      </c>
      <c r="BC4">
        <f>E$21</f>
        <v>0</v>
      </c>
      <c r="BD4">
        <f>E$22</f>
        <v>0</v>
      </c>
    </row>
    <row r="5" spans="1:56" ht="15" customHeight="1" x14ac:dyDescent="0.25">
      <c r="A5">
        <v>4</v>
      </c>
      <c r="B5" t="s">
        <v>55</v>
      </c>
      <c r="AW5" t="s">
        <v>59</v>
      </c>
    </row>
    <row r="6" spans="1:56" ht="15" customHeight="1" x14ac:dyDescent="0.25">
      <c r="A6">
        <v>5</v>
      </c>
      <c r="B6" t="s">
        <v>55</v>
      </c>
      <c r="AW6" t="s">
        <v>59</v>
      </c>
    </row>
    <row r="7" spans="1:56" ht="15" customHeight="1" x14ac:dyDescent="0.25">
      <c r="A7">
        <v>6</v>
      </c>
      <c r="B7" t="s">
        <v>55</v>
      </c>
      <c r="AW7" t="s">
        <v>59</v>
      </c>
    </row>
    <row r="8" spans="1:56" ht="15" customHeight="1" x14ac:dyDescent="0.25">
      <c r="A8">
        <v>7</v>
      </c>
      <c r="B8" t="s">
        <v>55</v>
      </c>
    </row>
    <row r="9" spans="1:56" ht="15" customHeight="1" x14ac:dyDescent="0.25">
      <c r="A9">
        <v>8</v>
      </c>
      <c r="B9" t="s">
        <v>55</v>
      </c>
    </row>
    <row r="10" spans="1:56" ht="15" customHeight="1" x14ac:dyDescent="0.25">
      <c r="A10">
        <v>9</v>
      </c>
      <c r="B10" t="s">
        <v>55</v>
      </c>
    </row>
    <row r="11" spans="1:56" ht="15" customHeight="1" x14ac:dyDescent="0.25">
      <c r="A11">
        <v>10</v>
      </c>
      <c r="B11" t="s">
        <v>55</v>
      </c>
    </row>
    <row r="12" spans="1:56" ht="15" customHeight="1" x14ac:dyDescent="0.25">
      <c r="A12">
        <v>11</v>
      </c>
      <c r="B12" t="s">
        <v>55</v>
      </c>
    </row>
    <row r="13" spans="1:56" ht="15" customHeight="1" x14ac:dyDescent="0.25">
      <c r="A13">
        <v>12</v>
      </c>
      <c r="B13" t="s">
        <v>55</v>
      </c>
    </row>
    <row r="14" spans="1:56" ht="15" customHeight="1" x14ac:dyDescent="0.25">
      <c r="A14">
        <v>13</v>
      </c>
      <c r="B14" t="s">
        <v>55</v>
      </c>
    </row>
    <row r="15" spans="1:56" ht="15" customHeight="1" x14ac:dyDescent="0.25">
      <c r="A15">
        <v>14</v>
      </c>
      <c r="B15" t="s">
        <v>55</v>
      </c>
    </row>
    <row r="16" spans="1:56" ht="15" customHeight="1" x14ac:dyDescent="0.25">
      <c r="A16">
        <v>15</v>
      </c>
      <c r="B16" t="s">
        <v>55</v>
      </c>
    </row>
    <row r="17" spans="1:2" ht="15" customHeight="1" x14ac:dyDescent="0.25">
      <c r="A17">
        <v>16</v>
      </c>
      <c r="B17" t="s">
        <v>55</v>
      </c>
    </row>
    <row r="18" spans="1:2" ht="15" customHeight="1" x14ac:dyDescent="0.25">
      <c r="A18">
        <v>17</v>
      </c>
      <c r="B18" t="s">
        <v>55</v>
      </c>
    </row>
    <row r="19" spans="1:2" ht="15" customHeight="1" x14ac:dyDescent="0.25">
      <c r="A19">
        <v>18</v>
      </c>
      <c r="B19" t="s">
        <v>55</v>
      </c>
    </row>
    <row r="20" spans="1:2" ht="15" customHeight="1" x14ac:dyDescent="0.25">
      <c r="A20">
        <v>19</v>
      </c>
      <c r="B20" t="s">
        <v>55</v>
      </c>
    </row>
    <row r="21" spans="1:2" ht="15" customHeight="1" x14ac:dyDescent="0.25">
      <c r="A21">
        <v>20</v>
      </c>
    </row>
    <row r="22" spans="1:2" ht="15" customHeight="1" x14ac:dyDescent="0.25">
      <c r="A22">
        <v>21</v>
      </c>
    </row>
    <row r="23" spans="1:2" ht="15" customHeight="1" x14ac:dyDescent="0.25">
      <c r="A23">
        <v>22</v>
      </c>
    </row>
    <row r="24" spans="1:2" ht="15" customHeight="1" x14ac:dyDescent="0.25">
      <c r="A24">
        <v>23</v>
      </c>
    </row>
    <row r="25" spans="1:2" ht="15" customHeight="1" x14ac:dyDescent="0.25">
      <c r="A25">
        <v>24</v>
      </c>
    </row>
    <row r="26" spans="1:2" ht="15" customHeight="1" x14ac:dyDescent="0.25">
      <c r="A26">
        <v>25</v>
      </c>
    </row>
    <row r="27" spans="1:2" ht="15" customHeight="1" x14ac:dyDescent="0.25">
      <c r="A27">
        <v>26</v>
      </c>
    </row>
    <row r="28" spans="1:2" ht="15" customHeight="1" x14ac:dyDescent="0.25">
      <c r="A28">
        <v>27</v>
      </c>
    </row>
    <row r="29" spans="1:2" ht="15" customHeight="1" x14ac:dyDescent="0.25">
      <c r="A29">
        <v>28</v>
      </c>
    </row>
    <row r="30" spans="1:2" ht="15" customHeight="1" x14ac:dyDescent="0.25">
      <c r="A30">
        <v>29</v>
      </c>
    </row>
    <row r="31" spans="1:2" ht="15" customHeight="1" x14ac:dyDescent="0.25">
      <c r="A31">
        <v>30</v>
      </c>
    </row>
    <row r="32" spans="1:2" ht="15" customHeight="1" x14ac:dyDescent="0.25">
      <c r="A32">
        <v>31</v>
      </c>
    </row>
    <row r="33" spans="1:1" ht="15" customHeight="1" x14ac:dyDescent="0.25">
      <c r="A33">
        <v>32</v>
      </c>
    </row>
    <row r="34" spans="1:1" ht="15" customHeight="1" x14ac:dyDescent="0.25">
      <c r="A34">
        <v>33</v>
      </c>
    </row>
    <row r="35" spans="1:1" ht="15" customHeight="1" x14ac:dyDescent="0.25">
      <c r="A35">
        <v>34</v>
      </c>
    </row>
    <row r="36" spans="1:1" ht="15" customHeight="1" x14ac:dyDescent="0.25">
      <c r="A36">
        <v>35</v>
      </c>
    </row>
    <row r="37" spans="1:1" ht="15" customHeight="1" x14ac:dyDescent="0.25">
      <c r="A37">
        <v>36</v>
      </c>
    </row>
    <row r="38" spans="1:1" ht="15" customHeight="1" x14ac:dyDescent="0.25">
      <c r="A38">
        <v>37</v>
      </c>
    </row>
    <row r="39" spans="1:1" ht="15" customHeight="1" x14ac:dyDescent="0.25">
      <c r="A39">
        <v>38</v>
      </c>
    </row>
    <row r="40" spans="1:1" ht="15" customHeight="1" x14ac:dyDescent="0.25">
      <c r="A40">
        <v>39</v>
      </c>
    </row>
    <row r="41" spans="1:1" ht="15" customHeight="1" x14ac:dyDescent="0.25">
      <c r="A41">
        <v>40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40"/>
  <sheetViews>
    <sheetView zoomScaleNormal="100" workbookViewId="0">
      <selection activeCell="A2" sqref="A2"/>
    </sheetView>
  </sheetViews>
  <sheetFormatPr defaultRowHeight="15" x14ac:dyDescent="0.25"/>
  <cols>
    <col min="1" max="1" width="10.42578125" customWidth="1"/>
    <col min="19" max="19" width="11.28515625" customWidth="1"/>
    <col min="22" max="22" width="14.140625" customWidth="1"/>
    <col min="28" max="28" width="28.28515625" customWidth="1"/>
    <col min="35" max="35" width="11.42578125" customWidth="1"/>
    <col min="36" max="36" width="15.140625" customWidth="1"/>
    <col min="37" max="37" width="12.85546875" customWidth="1"/>
    <col min="42" max="42" width="21.7109375" customWidth="1"/>
    <col min="43" max="43" width="13.140625" customWidth="1"/>
    <col min="44" max="44" width="16.28515625" customWidth="1"/>
    <col min="45" max="45" width="13.28515625" customWidth="1"/>
  </cols>
  <sheetData>
    <row r="1" spans="1:50" x14ac:dyDescent="0.25">
      <c r="A1" t="str">
        <f>Forkeppni!A1&amp;"-sorted"</f>
        <v>Nr.-sorted</v>
      </c>
      <c r="B1" t="str">
        <f>Forkeppni!B1&amp;"-sorted"</f>
        <v>Sæti-sorted</v>
      </c>
      <c r="C1" t="str">
        <f>Forkeppni!C1&amp;"-sorted"</f>
        <v>Holl-sorted</v>
      </c>
      <c r="D1" t="str">
        <f>Forkeppni!D1&amp;"-sorted"</f>
        <v>Hönd-sorted</v>
      </c>
      <c r="E1" t="str">
        <f>Forkeppni!E1&amp;"-sorted"</f>
        <v>Knapi-sorted</v>
      </c>
      <c r="F1" t="str">
        <f>Forkeppni!F1&amp;"-sorted"</f>
        <v>LiturRas-sorted</v>
      </c>
      <c r="G1" t="str">
        <f>Forkeppni!G1&amp;"-sorted"</f>
        <v>Félag knapa-sorted</v>
      </c>
      <c r="H1" t="str">
        <f>Forkeppni!H1&amp;"-sorted"</f>
        <v>Hestur-sorted</v>
      </c>
      <c r="I1" t="str">
        <f>Forkeppni!I1&amp;"-sorted"</f>
        <v>Litur-sorted</v>
      </c>
      <c r="J1" t="str">
        <f>Forkeppni!J1&amp;"-sorted"</f>
        <v>Aldur-sorted</v>
      </c>
      <c r="K1" t="str">
        <f>Forkeppni!K1&amp;"-sorted"</f>
        <v>Félag eiganda-sorted</v>
      </c>
      <c r="L1" t="str">
        <f>Forkeppni!L1&amp;"-sorted"</f>
        <v>Lið-sorted</v>
      </c>
      <c r="M1" t="str">
        <f>Forkeppni!M1&amp;"-sorted"</f>
        <v>NafnBIG-sorted</v>
      </c>
      <c r="N1" t="str">
        <f>Forkeppni!N1&amp;"-sorted"</f>
        <v>E1-sorted</v>
      </c>
      <c r="O1" t="str">
        <f>Forkeppni!O1&amp;"-sorted"</f>
        <v>E2-sorted</v>
      </c>
      <c r="P1" t="str">
        <f>Forkeppni!P1&amp;"-sorted"</f>
        <v>E3-sorted</v>
      </c>
      <c r="Q1" t="str">
        <f>Forkeppni!Q1&amp;"-sorted"</f>
        <v>E4-sorted</v>
      </c>
      <c r="R1" t="str">
        <f>Forkeppni!R1&amp;"-sorted"</f>
        <v>E5-sorted</v>
      </c>
      <c r="S1" t="str">
        <f>Forkeppni!S1&amp;"-sorted"</f>
        <v>E6-sorted</v>
      </c>
      <c r="T1" t="str">
        <f>Forkeppni!T1&amp;"-sorted"</f>
        <v>-sorted</v>
      </c>
      <c r="V1" t="s">
        <v>71</v>
      </c>
      <c r="W1" t="s">
        <v>72</v>
      </c>
      <c r="X1" t="s">
        <v>73</v>
      </c>
      <c r="Y1" t="s">
        <v>74</v>
      </c>
      <c r="Z1" t="s">
        <v>75</v>
      </c>
      <c r="AA1" t="s">
        <v>76</v>
      </c>
      <c r="AB1" t="s">
        <v>77</v>
      </c>
      <c r="AC1" t="s">
        <v>78</v>
      </c>
      <c r="AD1" t="s">
        <v>79</v>
      </c>
      <c r="AE1" t="s">
        <v>80</v>
      </c>
      <c r="AF1" t="s">
        <v>81</v>
      </c>
      <c r="AG1" t="s">
        <v>82</v>
      </c>
      <c r="AH1" t="s">
        <v>83</v>
      </c>
      <c r="AI1" t="s">
        <v>84</v>
      </c>
      <c r="AJ1" t="s">
        <v>85</v>
      </c>
      <c r="AK1" t="s">
        <v>86</v>
      </c>
      <c r="AL1" t="s">
        <v>87</v>
      </c>
      <c r="AM1" t="s">
        <v>88</v>
      </c>
      <c r="AN1" t="s">
        <v>89</v>
      </c>
      <c r="AO1" t="s">
        <v>90</v>
      </c>
      <c r="AP1" t="s">
        <v>91</v>
      </c>
      <c r="AQ1" t="s">
        <v>92</v>
      </c>
      <c r="AR1" t="s">
        <v>93</v>
      </c>
      <c r="AS1" t="s">
        <v>94</v>
      </c>
      <c r="AT1" t="s">
        <v>95</v>
      </c>
      <c r="AU1" t="s">
        <v>96</v>
      </c>
      <c r="AV1" t="s">
        <v>97</v>
      </c>
      <c r="AW1" t="s">
        <v>98</v>
      </c>
      <c r="AX1" t="s">
        <v>47</v>
      </c>
    </row>
    <row r="2" spans="1:50" x14ac:dyDescent="0.25">
      <c r="A2">
        <f t="array" ref="A2:T40">_xlfn._xlws.SORT(Forkeppni!A2:T40,19,-1,FALSE)</f>
        <v>1</v>
      </c>
      <c r="B2" t="str">
        <v/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V2">
        <f>E$2</f>
        <v>0</v>
      </c>
      <c r="W2">
        <f>E$3</f>
        <v>0</v>
      </c>
      <c r="X2">
        <f>E$4</f>
        <v>0</v>
      </c>
      <c r="Y2">
        <f>E$5</f>
        <v>0</v>
      </c>
      <c r="Z2">
        <f>E$6</f>
        <v>0</v>
      </c>
      <c r="AA2">
        <f>E$7</f>
        <v>0</v>
      </c>
      <c r="AB2">
        <f>E$8</f>
        <v>0</v>
      </c>
      <c r="AC2" s="1">
        <f>S$2</f>
        <v>0</v>
      </c>
      <c r="AD2" s="1">
        <f>S$3</f>
        <v>0</v>
      </c>
      <c r="AE2" s="1">
        <f>S$4</f>
        <v>0</v>
      </c>
      <c r="AF2" s="1">
        <f>S$5</f>
        <v>0</v>
      </c>
      <c r="AG2" s="1">
        <f>S$6</f>
        <v>0</v>
      </c>
      <c r="AH2" s="1">
        <f>S$7</f>
        <v>0</v>
      </c>
      <c r="AI2" s="1">
        <f>S$8</f>
        <v>0</v>
      </c>
      <c r="AJ2">
        <f>E$2</f>
        <v>0</v>
      </c>
      <c r="AK2">
        <f>E$3</f>
        <v>0</v>
      </c>
      <c r="AL2">
        <f>E$4</f>
        <v>0</v>
      </c>
      <c r="AM2">
        <f>E$5</f>
        <v>0</v>
      </c>
      <c r="AN2">
        <f>E$6</f>
        <v>0</v>
      </c>
      <c r="AO2">
        <f>E$7</f>
        <v>0</v>
      </c>
      <c r="AP2">
        <f>E$8</f>
        <v>0</v>
      </c>
      <c r="AQ2">
        <v>1</v>
      </c>
      <c r="AR2">
        <v>2</v>
      </c>
      <c r="AS2">
        <v>3</v>
      </c>
      <c r="AT2">
        <v>4</v>
      </c>
      <c r="AU2">
        <v>5</v>
      </c>
      <c r="AV2">
        <v>6</v>
      </c>
      <c r="AW2">
        <v>7</v>
      </c>
      <c r="AX2" t="s">
        <v>99</v>
      </c>
    </row>
    <row r="3" spans="1:50" x14ac:dyDescent="0.25">
      <c r="A3">
        <v>2</v>
      </c>
      <c r="B3" t="str">
        <v/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V3">
        <f>E$9</f>
        <v>0</v>
      </c>
      <c r="W3">
        <f>E$10</f>
        <v>0</v>
      </c>
      <c r="X3">
        <f>E$11</f>
        <v>0</v>
      </c>
      <c r="Y3">
        <f>E$12</f>
        <v>0</v>
      </c>
      <c r="Z3">
        <f>E$13</f>
        <v>0</v>
      </c>
      <c r="AA3">
        <f>E$14</f>
        <v>0</v>
      </c>
      <c r="AB3">
        <f>E$15</f>
        <v>0</v>
      </c>
      <c r="AC3" s="1">
        <f>S$9</f>
        <v>0</v>
      </c>
      <c r="AD3" s="1">
        <f>S$10</f>
        <v>0</v>
      </c>
      <c r="AE3" s="1">
        <f>S$11</f>
        <v>0</v>
      </c>
      <c r="AF3" s="1">
        <f>S$12</f>
        <v>0</v>
      </c>
      <c r="AG3" s="1">
        <f>S$13</f>
        <v>0</v>
      </c>
      <c r="AH3" s="1">
        <f>S$14</f>
        <v>0</v>
      </c>
      <c r="AI3" s="1">
        <f>S$15</f>
        <v>0</v>
      </c>
      <c r="AJ3">
        <f>E$9</f>
        <v>0</v>
      </c>
      <c r="AK3">
        <f>E$10</f>
        <v>0</v>
      </c>
      <c r="AL3">
        <f>E$11</f>
        <v>0</v>
      </c>
      <c r="AM3">
        <f>E$12</f>
        <v>0</v>
      </c>
      <c r="AN3">
        <f>E$13</f>
        <v>0</v>
      </c>
      <c r="AO3">
        <f>E$14</f>
        <v>0</v>
      </c>
      <c r="AP3">
        <f>E$15</f>
        <v>0</v>
      </c>
      <c r="AQ3">
        <v>8</v>
      </c>
      <c r="AR3">
        <v>9</v>
      </c>
      <c r="AS3">
        <v>10</v>
      </c>
      <c r="AT3">
        <v>11</v>
      </c>
      <c r="AU3">
        <v>12</v>
      </c>
      <c r="AV3">
        <v>13</v>
      </c>
      <c r="AW3">
        <v>14</v>
      </c>
      <c r="AX3" t="s">
        <v>99</v>
      </c>
    </row>
    <row r="4" spans="1:50" x14ac:dyDescent="0.25">
      <c r="A4">
        <v>3</v>
      </c>
      <c r="B4" t="str">
        <v/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V4">
        <f>E$16</f>
        <v>0</v>
      </c>
      <c r="W4">
        <f>E$17</f>
        <v>0</v>
      </c>
      <c r="X4">
        <f>E$18</f>
        <v>0</v>
      </c>
      <c r="Y4">
        <f>E$19</f>
        <v>0</v>
      </c>
      <c r="Z4">
        <f>E$20</f>
        <v>0</v>
      </c>
      <c r="AA4">
        <f>E$21</f>
        <v>0</v>
      </c>
      <c r="AB4">
        <f>E$22</f>
        <v>0</v>
      </c>
      <c r="AC4" s="1">
        <f>S$16</f>
        <v>0</v>
      </c>
      <c r="AD4" s="1">
        <f>S$17</f>
        <v>0</v>
      </c>
      <c r="AE4" s="1">
        <f>S$18</f>
        <v>0</v>
      </c>
      <c r="AF4" s="1">
        <f>S$19</f>
        <v>0</v>
      </c>
      <c r="AG4" s="1">
        <f>S$20</f>
        <v>0</v>
      </c>
      <c r="AH4" s="1">
        <f>S$21</f>
        <v>0</v>
      </c>
      <c r="AI4" s="1">
        <f>S$22</f>
        <v>0</v>
      </c>
      <c r="AJ4">
        <f>E$16</f>
        <v>0</v>
      </c>
      <c r="AK4">
        <f>E$17</f>
        <v>0</v>
      </c>
      <c r="AL4">
        <f>E$18</f>
        <v>0</v>
      </c>
      <c r="AM4">
        <f>E$19</f>
        <v>0</v>
      </c>
      <c r="AN4">
        <f>E$20</f>
        <v>0</v>
      </c>
      <c r="AO4">
        <f>E$21</f>
        <v>0</v>
      </c>
      <c r="AP4">
        <f>E$22</f>
        <v>0</v>
      </c>
      <c r="AQ4">
        <v>15</v>
      </c>
      <c r="AR4">
        <v>16</v>
      </c>
      <c r="AS4">
        <v>17</v>
      </c>
      <c r="AT4">
        <v>18</v>
      </c>
      <c r="AU4">
        <v>19</v>
      </c>
      <c r="AV4">
        <v>20</v>
      </c>
      <c r="AW4">
        <v>21</v>
      </c>
      <c r="AX4" t="s">
        <v>99</v>
      </c>
    </row>
    <row r="5" spans="1:50" x14ac:dyDescent="0.25">
      <c r="A5">
        <v>4</v>
      </c>
      <c r="B5" t="str">
        <v/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AX5" t="s">
        <v>99</v>
      </c>
    </row>
    <row r="6" spans="1:50" x14ac:dyDescent="0.25">
      <c r="A6">
        <v>5</v>
      </c>
      <c r="B6" t="str">
        <v/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AX6" t="s">
        <v>99</v>
      </c>
    </row>
    <row r="7" spans="1:50" x14ac:dyDescent="0.25">
      <c r="A7">
        <v>6</v>
      </c>
      <c r="B7" t="str">
        <v/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AX7" t="s">
        <v>99</v>
      </c>
    </row>
    <row r="8" spans="1:50" x14ac:dyDescent="0.25">
      <c r="A8">
        <v>7</v>
      </c>
      <c r="B8" t="str">
        <v/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</row>
    <row r="9" spans="1:50" x14ac:dyDescent="0.25">
      <c r="A9">
        <v>8</v>
      </c>
      <c r="B9" t="str">
        <v/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</row>
    <row r="10" spans="1:50" x14ac:dyDescent="0.25">
      <c r="A10">
        <v>9</v>
      </c>
      <c r="B10" t="str">
        <v/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</row>
    <row r="11" spans="1:50" x14ac:dyDescent="0.25">
      <c r="A11">
        <v>10</v>
      </c>
      <c r="B11" t="str">
        <v/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</row>
    <row r="12" spans="1:50" x14ac:dyDescent="0.25">
      <c r="A12">
        <v>11</v>
      </c>
      <c r="B12" t="str">
        <v/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</row>
    <row r="13" spans="1:50" x14ac:dyDescent="0.25">
      <c r="A13">
        <v>12</v>
      </c>
      <c r="B13" t="str">
        <v/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AE13" s="1"/>
      <c r="AF13" s="1"/>
      <c r="AG13" s="1"/>
      <c r="AH13" s="1"/>
      <c r="AI13" s="1"/>
    </row>
    <row r="14" spans="1:50" x14ac:dyDescent="0.25">
      <c r="A14">
        <v>13</v>
      </c>
      <c r="B14" t="str">
        <v/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AE14" s="1"/>
      <c r="AF14" s="1"/>
      <c r="AG14" s="1"/>
      <c r="AH14" s="1"/>
      <c r="AI14" s="1"/>
    </row>
    <row r="15" spans="1:50" x14ac:dyDescent="0.25">
      <c r="A15">
        <v>14</v>
      </c>
      <c r="B15" t="str">
        <v/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AE15" s="1"/>
      <c r="AF15" s="1"/>
      <c r="AG15" s="1"/>
      <c r="AH15" s="1"/>
      <c r="AI15" s="1"/>
    </row>
    <row r="16" spans="1:50" x14ac:dyDescent="0.25">
      <c r="A16">
        <v>15</v>
      </c>
      <c r="B16" t="str">
        <v/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</row>
    <row r="17" spans="1:20" x14ac:dyDescent="0.25">
      <c r="A17">
        <v>16</v>
      </c>
      <c r="B17" t="str">
        <v/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</row>
    <row r="18" spans="1:20" x14ac:dyDescent="0.25">
      <c r="A18">
        <v>17</v>
      </c>
      <c r="B18" t="str">
        <v/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</row>
    <row r="19" spans="1:20" x14ac:dyDescent="0.25">
      <c r="A19">
        <v>18</v>
      </c>
      <c r="B19" t="str">
        <v/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</row>
    <row r="20" spans="1:20" x14ac:dyDescent="0.25">
      <c r="A20">
        <v>19</v>
      </c>
      <c r="B20" t="str">
        <v/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</row>
    <row r="21" spans="1:20" x14ac:dyDescent="0.25">
      <c r="A2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</row>
    <row r="22" spans="1:20" x14ac:dyDescent="0.25">
      <c r="A22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</row>
    <row r="23" spans="1:20" x14ac:dyDescent="0.25">
      <c r="A23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</row>
    <row r="24" spans="1:20" x14ac:dyDescent="0.25">
      <c r="A24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</row>
    <row r="25" spans="1:20" x14ac:dyDescent="0.25">
      <c r="A25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</row>
    <row r="26" spans="1:20" x14ac:dyDescent="0.25">
      <c r="A26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</row>
    <row r="27" spans="1:20" x14ac:dyDescent="0.25">
      <c r="A27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</row>
    <row r="28" spans="1:20" x14ac:dyDescent="0.25">
      <c r="A28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</row>
    <row r="29" spans="1:20" x14ac:dyDescent="0.25">
      <c r="A29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</row>
    <row r="30" spans="1:20" x14ac:dyDescent="0.25">
      <c r="A30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</row>
    <row r="31" spans="1:20" x14ac:dyDescent="0.25">
      <c r="A3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</row>
    <row r="32" spans="1:20" x14ac:dyDescent="0.25">
      <c r="A32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</row>
    <row r="33" spans="1:20" x14ac:dyDescent="0.25">
      <c r="A33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</row>
    <row r="34" spans="1:20" x14ac:dyDescent="0.25">
      <c r="A34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</row>
    <row r="35" spans="1:20" x14ac:dyDescent="0.25">
      <c r="A35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</row>
    <row r="36" spans="1:20" x14ac:dyDescent="0.25">
      <c r="A36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</row>
    <row r="37" spans="1:20" x14ac:dyDescent="0.25">
      <c r="A37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</row>
    <row r="38" spans="1:20" x14ac:dyDescent="0.25">
      <c r="A38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</row>
    <row r="39" spans="1:20" x14ac:dyDescent="0.25">
      <c r="A39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</row>
    <row r="40" spans="1:20" x14ac:dyDescent="0.25">
      <c r="A40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X8"/>
  <sheetViews>
    <sheetView zoomScaleNormal="100" workbookViewId="0">
      <selection activeCell="AH2" sqref="AH2:AL8"/>
    </sheetView>
  </sheetViews>
  <sheetFormatPr defaultRowHeight="14.45" customHeight="1" x14ac:dyDescent="0.25"/>
  <cols>
    <col min="1" max="1" width="6" customWidth="1"/>
    <col min="2" max="2" width="8" customWidth="1"/>
    <col min="3" max="4" width="6" customWidth="1"/>
    <col min="5" max="5" width="24" customWidth="1"/>
    <col min="6" max="6" width="14" customWidth="1"/>
    <col min="7" max="7" width="18" customWidth="1"/>
    <col min="8" max="8" width="28" customWidth="1"/>
    <col min="9" max="9" width="20" customWidth="1"/>
    <col min="10" max="10" width="6" customWidth="1"/>
    <col min="11" max="11" width="18" customWidth="1"/>
    <col min="12" max="12" width="10" customWidth="1"/>
    <col min="13" max="13" width="28" customWidth="1"/>
    <col min="14" max="14" width="10.7109375" customWidth="1"/>
    <col min="15" max="37" width="8" customWidth="1"/>
    <col min="64" max="64" width="12.85546875" customWidth="1"/>
    <col min="65" max="65" width="10" customWidth="1"/>
  </cols>
  <sheetData>
    <row r="1" spans="1:102" ht="14.4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100</v>
      </c>
      <c r="O1" t="s">
        <v>101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102</v>
      </c>
      <c r="W1" t="s">
        <v>103</v>
      </c>
      <c r="X1" t="s">
        <v>104</v>
      </c>
      <c r="Y1" t="s">
        <v>105</v>
      </c>
      <c r="Z1" t="s">
        <v>106</v>
      </c>
      <c r="AA1" t="s">
        <v>107</v>
      </c>
      <c r="AB1" t="s">
        <v>108</v>
      </c>
      <c r="AC1" t="s">
        <v>109</v>
      </c>
      <c r="AD1" t="s">
        <v>110</v>
      </c>
      <c r="AE1" t="s">
        <v>111</v>
      </c>
      <c r="AF1" t="s">
        <v>112</v>
      </c>
      <c r="AG1" t="s">
        <v>113</v>
      </c>
      <c r="AH1" t="s">
        <v>114</v>
      </c>
      <c r="AI1" t="s">
        <v>115</v>
      </c>
      <c r="AJ1" t="s">
        <v>116</v>
      </c>
      <c r="AK1" t="s">
        <v>117</v>
      </c>
      <c r="AL1" t="s">
        <v>118</v>
      </c>
      <c r="AM1" t="s">
        <v>119</v>
      </c>
      <c r="AN1" t="s">
        <v>120</v>
      </c>
      <c r="AO1" t="s">
        <v>121</v>
      </c>
      <c r="AP1" t="s">
        <v>122</v>
      </c>
      <c r="AQ1" t="s">
        <v>123</v>
      </c>
      <c r="AR1" t="s">
        <v>124</v>
      </c>
      <c r="AS1" t="s">
        <v>125</v>
      </c>
      <c r="AT1" t="s">
        <v>126</v>
      </c>
      <c r="AU1" t="s">
        <v>127</v>
      </c>
      <c r="AV1" t="s">
        <v>128</v>
      </c>
      <c r="AW1" t="s">
        <v>129</v>
      </c>
      <c r="AX1" t="s">
        <v>130</v>
      </c>
      <c r="AY1" t="s">
        <v>131</v>
      </c>
      <c r="AZ1" t="s">
        <v>132</v>
      </c>
      <c r="BA1" t="s">
        <v>133</v>
      </c>
      <c r="BB1" t="s">
        <v>134</v>
      </c>
      <c r="BC1" t="s">
        <v>135</v>
      </c>
      <c r="BD1" t="s">
        <v>136</v>
      </c>
      <c r="BE1" t="s">
        <v>137</v>
      </c>
      <c r="BF1" t="s">
        <v>138</v>
      </c>
      <c r="BG1" t="s">
        <v>139</v>
      </c>
      <c r="BH1" t="s">
        <v>140</v>
      </c>
      <c r="BI1" t="s">
        <v>141</v>
      </c>
      <c r="BJ1" t="s">
        <v>142</v>
      </c>
      <c r="BK1" t="s">
        <v>143</v>
      </c>
      <c r="BL1" t="s">
        <v>144</v>
      </c>
      <c r="BM1" t="s">
        <v>145</v>
      </c>
      <c r="BO1" t="s">
        <v>19</v>
      </c>
      <c r="BP1" t="s">
        <v>20</v>
      </c>
      <c r="BQ1" t="s">
        <v>21</v>
      </c>
      <c r="BR1" t="s">
        <v>22</v>
      </c>
      <c r="BS1" t="s">
        <v>23</v>
      </c>
      <c r="BT1" t="s">
        <v>24</v>
      </c>
      <c r="BU1" t="s">
        <v>25</v>
      </c>
      <c r="BV1" t="s">
        <v>26</v>
      </c>
      <c r="BW1" t="s">
        <v>27</v>
      </c>
      <c r="BX1" t="s">
        <v>28</v>
      </c>
      <c r="BY1" t="s">
        <v>29</v>
      </c>
      <c r="BZ1" t="s">
        <v>30</v>
      </c>
      <c r="CA1" t="s">
        <v>31</v>
      </c>
      <c r="CB1" t="s">
        <v>32</v>
      </c>
      <c r="CC1" t="s">
        <v>33</v>
      </c>
      <c r="CD1" t="s">
        <v>34</v>
      </c>
      <c r="CE1" t="s">
        <v>35</v>
      </c>
      <c r="CF1" t="s">
        <v>36</v>
      </c>
      <c r="CG1" t="s">
        <v>37</v>
      </c>
      <c r="CH1" t="s">
        <v>38</v>
      </c>
      <c r="CI1" t="s">
        <v>39</v>
      </c>
      <c r="CJ1" t="s">
        <v>40</v>
      </c>
      <c r="CK1" t="s">
        <v>41</v>
      </c>
      <c r="CL1" t="s">
        <v>42</v>
      </c>
      <c r="CM1" t="s">
        <v>43</v>
      </c>
      <c r="CN1" t="s">
        <v>44</v>
      </c>
      <c r="CO1" t="s">
        <v>45</v>
      </c>
      <c r="CP1" t="s">
        <v>46</v>
      </c>
      <c r="CQ1" t="s">
        <v>47</v>
      </c>
      <c r="CR1" t="s">
        <v>48</v>
      </c>
      <c r="CS1" t="s">
        <v>49</v>
      </c>
      <c r="CT1" t="s">
        <v>50</v>
      </c>
      <c r="CU1" t="s">
        <v>51</v>
      </c>
      <c r="CV1" t="s">
        <v>52</v>
      </c>
      <c r="CW1" t="s">
        <v>53</v>
      </c>
      <c r="CX1" t="s">
        <v>54</v>
      </c>
    </row>
    <row r="2" spans="1:102" ht="15" customHeight="1" x14ac:dyDescent="0.25">
      <c r="N2" t="e">
        <f t="array" ref="N2">_xlfn.IFS(F2="1 - Rauður", "#FF0000",F2="2 - Gulur","#FFFF00",F2="3 - Grænn", "#008000",F2="4 - Blár", "#0000FF",F2="5 - Hvítur", "#FFFFFF")</f>
        <v>#N/A</v>
      </c>
      <c r="O2" t="e">
        <f t="array" ref="O2">_xlfn.IFS(F2="1 - Rauður", "#FF0000",F2="2 - Gulur","#FFFF00",F2="3 - Grænn", "#008000",F2="4 - Blár", "#0000FF",F2="5 - Hvítur", "#FFFFFF")</f>
        <v>#N/A</v>
      </c>
      <c r="AA2" s="1" t="e">
        <f>AVERAGE(V2:Z2)</f>
        <v>#DIV/0!</v>
      </c>
      <c r="AG2" s="1" t="e">
        <f>AVERAGE(AB2:AF2)</f>
        <v>#DIV/0!</v>
      </c>
      <c r="AM2" s="1" t="e">
        <f>AVERAGE(AH2:AL2)</f>
        <v>#DIV/0!</v>
      </c>
      <c r="AS2" s="1" t="e">
        <f>AVERAGE(AN2:AR2)</f>
        <v>#DIV/0!</v>
      </c>
      <c r="AY2" s="1" t="e">
        <f>AVERAGE(AT2:AX2)</f>
        <v>#DIV/0!</v>
      </c>
      <c r="BE2" s="1" t="e">
        <f>AVERAGE(AZ2:BD2)</f>
        <v>#DIV/0!</v>
      </c>
      <c r="BK2" s="1" t="e">
        <f>AVERAGE(BF2:BJ2)</f>
        <v>#DIV/0!</v>
      </c>
      <c r="BL2" t="s">
        <v>146</v>
      </c>
      <c r="BM2" t="s">
        <v>147</v>
      </c>
      <c r="BO2">
        <f>E$2</f>
        <v>0</v>
      </c>
      <c r="BP2">
        <f>E$3</f>
        <v>0</v>
      </c>
      <c r="BQ2">
        <f>E$4</f>
        <v>0</v>
      </c>
      <c r="BR2">
        <f>E$5</f>
        <v>0</v>
      </c>
      <c r="BS2">
        <f>E$6</f>
        <v>0</v>
      </c>
      <c r="BT2">
        <f>E$7</f>
        <v>0</v>
      </c>
      <c r="BU2">
        <f>E$8</f>
        <v>0</v>
      </c>
      <c r="BV2">
        <f>H$2</f>
        <v>0</v>
      </c>
      <c r="BW2">
        <f>H$3</f>
        <v>0</v>
      </c>
      <c r="BX2">
        <f>H$4</f>
        <v>0</v>
      </c>
      <c r="BY2">
        <f>H$5</f>
        <v>0</v>
      </c>
      <c r="BZ2">
        <f>H$6</f>
        <v>0</v>
      </c>
      <c r="CA2">
        <f>H$7</f>
        <v>0</v>
      </c>
      <c r="CB2">
        <f>H$8</f>
        <v>0</v>
      </c>
      <c r="CC2">
        <f>L$2</f>
        <v>0</v>
      </c>
      <c r="CD2">
        <f>L$3</f>
        <v>0</v>
      </c>
      <c r="CE2">
        <f>L$4</f>
        <v>0</v>
      </c>
      <c r="CF2">
        <f>L$5</f>
        <v>0</v>
      </c>
      <c r="CG2">
        <f>L$6</f>
        <v>0</v>
      </c>
      <c r="CH2">
        <f>L$7</f>
        <v>0</v>
      </c>
      <c r="CI2">
        <f>L$8</f>
        <v>0</v>
      </c>
      <c r="CJ2">
        <v>6</v>
      </c>
      <c r="CK2">
        <v>7</v>
      </c>
      <c r="CL2">
        <v>8</v>
      </c>
      <c r="CM2">
        <v>9</v>
      </c>
      <c r="CN2">
        <v>10</v>
      </c>
      <c r="CO2">
        <v>11</v>
      </c>
      <c r="CP2">
        <v>12</v>
      </c>
      <c r="CQ2" t="s">
        <v>148</v>
      </c>
      <c r="CR2">
        <f>E$2</f>
        <v>0</v>
      </c>
      <c r="CS2">
        <f>E$3</f>
        <v>0</v>
      </c>
      <c r="CT2">
        <f>E$4</f>
        <v>0</v>
      </c>
      <c r="CU2">
        <f>E$5</f>
        <v>0</v>
      </c>
      <c r="CV2">
        <f>E$6</f>
        <v>0</v>
      </c>
      <c r="CW2">
        <f>E$7</f>
        <v>0</v>
      </c>
      <c r="CX2">
        <f>E$8</f>
        <v>0</v>
      </c>
    </row>
    <row r="3" spans="1:102" ht="15" customHeight="1" x14ac:dyDescent="0.25">
      <c r="N3" t="e">
        <f t="array" ref="N3">_xlfn.IFS(F3="1 - Rauður", "#FF0000",F3="2 - Gulur","#FFFF00",F3="3 - Grænn", "#008000",F3="4 - Blár", "#0000FF",F3="5 - Hvítur", "#FFFFFF")</f>
        <v>#N/A</v>
      </c>
      <c r="O3" t="e">
        <f t="array" ref="O3">_xlfn.IFS(F3="1 - Rauður", "#FF0000",F3="2 - Gulur","#FFFF00",F3="3 - Grænn", "#008000",F3="4 - Blár", "#0000FF",F3="5 - Hvítur", "#FFFFFF")</f>
        <v>#N/A</v>
      </c>
      <c r="AA3" s="1" t="e">
        <f t="shared" ref="AA3:AA8" si="0">AVERAGE(V3:Z3)</f>
        <v>#DIV/0!</v>
      </c>
      <c r="AG3" s="1" t="e">
        <f t="shared" ref="AG3:AG8" si="1">AVERAGE(AB3:AF3)</f>
        <v>#DIV/0!</v>
      </c>
      <c r="AM3" s="1" t="e">
        <f t="shared" ref="AM3:AM8" si="2">AVERAGE(AH3:AL3)</f>
        <v>#DIV/0!</v>
      </c>
      <c r="AS3" s="1" t="e">
        <f t="shared" ref="AS3:AS8" si="3">AVERAGE(AN3:AR3)</f>
        <v>#DIV/0!</v>
      </c>
      <c r="AY3" s="1" t="e">
        <f t="shared" ref="AY3:AY8" si="4">AVERAGE(AT3:AX3)</f>
        <v>#DIV/0!</v>
      </c>
      <c r="BE3" s="1" t="e">
        <f t="shared" ref="BE3:BE8" si="5">AVERAGE(AZ3:BD3)</f>
        <v>#DIV/0!</v>
      </c>
      <c r="BK3" s="1" t="e">
        <f t="shared" ref="BK3:BK8" si="6">AVERAGE(BF3:BJ3)</f>
        <v>#DIV/0!</v>
      </c>
      <c r="BL3" t="s">
        <v>150</v>
      </c>
      <c r="BM3" t="s">
        <v>151</v>
      </c>
    </row>
    <row r="4" spans="1:102" ht="15" customHeight="1" x14ac:dyDescent="0.25">
      <c r="N4" t="e">
        <f t="array" ref="N4">_xlfn.IFS(F4="1 - Rauður", "#FF0000",F4="2 - Gulur","#FFFF00",F4="3 - Grænn", "#008000",F4="4 - Blár", "#0000FF",F4="5 - Hvítur", "#FFFFFF")</f>
        <v>#N/A</v>
      </c>
      <c r="O4" t="e">
        <f t="array" ref="O4">_xlfn.IFS(F4="1 - Rauður", "#FF0000",F4="2 - Gulur","#FFFF00",F4="3 - Grænn", "#008000",F4="4 - Blár", "#0000FF",F4="5 - Hvítur", "#FFFFFF")</f>
        <v>#N/A</v>
      </c>
      <c r="AA4" s="1" t="e">
        <f t="shared" si="0"/>
        <v>#DIV/0!</v>
      </c>
      <c r="AG4" s="1" t="e">
        <f t="shared" si="1"/>
        <v>#DIV/0!</v>
      </c>
      <c r="AM4" s="1" t="e">
        <f t="shared" si="2"/>
        <v>#DIV/0!</v>
      </c>
      <c r="AS4" s="1" t="e">
        <f t="shared" si="3"/>
        <v>#DIV/0!</v>
      </c>
      <c r="AY4" s="1" t="e">
        <f t="shared" si="4"/>
        <v>#DIV/0!</v>
      </c>
      <c r="BE4" s="1" t="e">
        <f t="shared" si="5"/>
        <v>#DIV/0!</v>
      </c>
      <c r="BK4" s="1" t="e">
        <f t="shared" si="6"/>
        <v>#DIV/0!</v>
      </c>
      <c r="BL4" t="s">
        <v>153</v>
      </c>
      <c r="BM4" t="s">
        <v>154</v>
      </c>
    </row>
    <row r="5" spans="1:102" ht="15" customHeight="1" x14ac:dyDescent="0.25">
      <c r="N5" t="e">
        <f t="array" ref="N5">_xlfn.IFS(F5="1 - Rauður", "#FF0000",F5="2 - Gulur","#FFFF00",F5="3 - Grænn", "#008000",F5="4 - Blár", "#0000FF",F5="5 - Hvítur", "#FFFFFF")</f>
        <v>#N/A</v>
      </c>
      <c r="O5" t="e">
        <f t="array" ref="O5">_xlfn.IFS(F5="1 - Rauður", "#FF0000",F5="2 - Gulur","#FFFF00",F5="3 - Grænn", "#008000",F5="4 - Blár", "#0000FF",F5="5 - Hvítur", "#FFFFFF")</f>
        <v>#N/A</v>
      </c>
      <c r="AA5" s="1" t="e">
        <f t="shared" si="0"/>
        <v>#DIV/0!</v>
      </c>
      <c r="AG5" s="1" t="e">
        <f t="shared" si="1"/>
        <v>#DIV/0!</v>
      </c>
      <c r="AM5" s="1" t="e">
        <f t="shared" si="2"/>
        <v>#DIV/0!</v>
      </c>
      <c r="AS5" s="1" t="e">
        <f t="shared" si="3"/>
        <v>#DIV/0!</v>
      </c>
      <c r="AY5" s="1" t="e">
        <f t="shared" si="4"/>
        <v>#DIV/0!</v>
      </c>
      <c r="BE5" s="1" t="e">
        <f t="shared" si="5"/>
        <v>#DIV/0!</v>
      </c>
      <c r="BK5" s="1" t="e">
        <f t="shared" si="6"/>
        <v>#DIV/0!</v>
      </c>
      <c r="BL5" t="s">
        <v>156</v>
      </c>
      <c r="BM5" t="s">
        <v>157</v>
      </c>
    </row>
    <row r="6" spans="1:102" ht="15" customHeight="1" x14ac:dyDescent="0.25">
      <c r="N6" t="e">
        <f t="array" ref="N6">_xlfn.IFS(F6="1 - Rauður", "#FF0000",F6="2 - Gulur","#FFFF00",F6="3 - Grænn", "#008000",F6="4 - Blár", "#0000FF",F6="5 - Hvítur", "#FFFFFF")</f>
        <v>#N/A</v>
      </c>
      <c r="O6" t="e">
        <f t="array" ref="O6">_xlfn.IFS(F6="1 - Rauður", "#FF0000",F6="2 - Gulur","#FFFF00",F6="3 - Grænn", "#008000",F6="4 - Blár", "#0000FF",F6="5 - Hvítur", "#FFFFFF")</f>
        <v>#N/A</v>
      </c>
      <c r="AA6" s="1" t="e">
        <f t="shared" si="0"/>
        <v>#DIV/0!</v>
      </c>
      <c r="AG6" s="1" t="e">
        <f t="shared" si="1"/>
        <v>#DIV/0!</v>
      </c>
      <c r="AM6" s="1" t="e">
        <f t="shared" si="2"/>
        <v>#DIV/0!</v>
      </c>
      <c r="AS6" s="1" t="e">
        <f t="shared" si="3"/>
        <v>#DIV/0!</v>
      </c>
      <c r="AY6" s="1" t="e">
        <f t="shared" si="4"/>
        <v>#DIV/0!</v>
      </c>
      <c r="BE6" s="1" t="e">
        <f t="shared" si="5"/>
        <v>#DIV/0!</v>
      </c>
      <c r="BK6" s="1" t="e">
        <f t="shared" si="6"/>
        <v>#DIV/0!</v>
      </c>
      <c r="BL6" t="s">
        <v>159</v>
      </c>
      <c r="BM6" t="s">
        <v>160</v>
      </c>
    </row>
    <row r="7" spans="1:102" ht="14.45" customHeight="1" x14ac:dyDescent="0.25">
      <c r="AA7" s="1" t="e">
        <f t="shared" si="0"/>
        <v>#DIV/0!</v>
      </c>
      <c r="AG7" s="1" t="e">
        <f t="shared" si="1"/>
        <v>#DIV/0!</v>
      </c>
      <c r="AM7" s="1" t="e">
        <f t="shared" si="2"/>
        <v>#DIV/0!</v>
      </c>
      <c r="AS7" s="1" t="e">
        <f t="shared" si="3"/>
        <v>#DIV/0!</v>
      </c>
      <c r="AY7" s="1" t="e">
        <f t="shared" si="4"/>
        <v>#DIV/0!</v>
      </c>
      <c r="BE7" s="1" t="e">
        <f t="shared" si="5"/>
        <v>#DIV/0!</v>
      </c>
      <c r="BK7" s="1" t="e">
        <f t="shared" si="6"/>
        <v>#DIV/0!</v>
      </c>
    </row>
    <row r="8" spans="1:102" ht="14.45" customHeight="1" x14ac:dyDescent="0.25">
      <c r="AA8" s="1" t="e">
        <f t="shared" si="0"/>
        <v>#DIV/0!</v>
      </c>
      <c r="AG8" s="1" t="e">
        <f t="shared" si="1"/>
        <v>#DIV/0!</v>
      </c>
      <c r="AM8" s="1" t="e">
        <f t="shared" si="2"/>
        <v>#DIV/0!</v>
      </c>
      <c r="AS8" s="1" t="e">
        <f t="shared" si="3"/>
        <v>#DIV/0!</v>
      </c>
      <c r="AY8" s="1" t="e">
        <f t="shared" si="4"/>
        <v>#DIV/0!</v>
      </c>
      <c r="BE8" s="1" t="e">
        <f t="shared" si="5"/>
        <v>#DIV/0!</v>
      </c>
      <c r="BK8" s="1" t="e">
        <f t="shared" si="6"/>
        <v>#DIV/0!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Q8"/>
  <sheetViews>
    <sheetView zoomScaleNormal="100" workbookViewId="0">
      <selection activeCell="AM20" sqref="AM20"/>
    </sheetView>
  </sheetViews>
  <sheetFormatPr defaultRowHeight="15" x14ac:dyDescent="0.25"/>
  <cols>
    <col min="64" max="64" width="22.85546875" customWidth="1"/>
    <col min="65" max="65" width="19.5703125" customWidth="1"/>
  </cols>
  <sheetData>
    <row r="1" spans="1:9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100</v>
      </c>
      <c r="O1" t="s">
        <v>101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102</v>
      </c>
      <c r="W1" t="s">
        <v>103</v>
      </c>
      <c r="X1" t="s">
        <v>104</v>
      </c>
      <c r="Y1" t="s">
        <v>105</v>
      </c>
      <c r="Z1" t="s">
        <v>106</v>
      </c>
      <c r="AA1" t="s">
        <v>107</v>
      </c>
      <c r="AB1" t="s">
        <v>108</v>
      </c>
      <c r="AC1" t="s">
        <v>109</v>
      </c>
      <c r="AD1" t="s">
        <v>110</v>
      </c>
      <c r="AE1" t="s">
        <v>111</v>
      </c>
      <c r="AF1" t="s">
        <v>112</v>
      </c>
      <c r="AG1" t="s">
        <v>113</v>
      </c>
      <c r="AH1" t="s">
        <v>114</v>
      </c>
      <c r="AI1" t="s">
        <v>115</v>
      </c>
      <c r="AJ1" t="s">
        <v>116</v>
      </c>
      <c r="AK1" t="s">
        <v>117</v>
      </c>
      <c r="AL1" t="s">
        <v>118</v>
      </c>
      <c r="AM1" t="s">
        <v>119</v>
      </c>
      <c r="AN1" t="s">
        <v>120</v>
      </c>
      <c r="AO1" t="s">
        <v>121</v>
      </c>
      <c r="AP1" t="s">
        <v>122</v>
      </c>
      <c r="AQ1" t="s">
        <v>123</v>
      </c>
      <c r="AR1" t="s">
        <v>124</v>
      </c>
      <c r="AS1" t="s">
        <v>125</v>
      </c>
      <c r="AT1" t="s">
        <v>126</v>
      </c>
      <c r="AU1" t="s">
        <v>127</v>
      </c>
      <c r="AV1" t="s">
        <v>128</v>
      </c>
      <c r="AW1" t="s">
        <v>129</v>
      </c>
      <c r="AX1" t="s">
        <v>130</v>
      </c>
      <c r="AY1" t="s">
        <v>131</v>
      </c>
      <c r="AZ1" t="s">
        <v>132</v>
      </c>
      <c r="BA1" t="s">
        <v>133</v>
      </c>
      <c r="BB1" t="s">
        <v>134</v>
      </c>
      <c r="BC1" t="s">
        <v>135</v>
      </c>
      <c r="BD1" t="s">
        <v>136</v>
      </c>
      <c r="BE1" t="s">
        <v>137</v>
      </c>
      <c r="BF1" t="s">
        <v>138</v>
      </c>
      <c r="BG1" t="s">
        <v>139</v>
      </c>
      <c r="BH1" t="s">
        <v>140</v>
      </c>
      <c r="BI1" t="s">
        <v>141</v>
      </c>
      <c r="BJ1" t="s">
        <v>142</v>
      </c>
      <c r="BK1" t="s">
        <v>143</v>
      </c>
      <c r="BL1" t="s">
        <v>144</v>
      </c>
      <c r="BM1" t="s">
        <v>145</v>
      </c>
      <c r="BO1" t="s">
        <v>71</v>
      </c>
      <c r="BP1" t="s">
        <v>72</v>
      </c>
      <c r="BQ1" t="s">
        <v>73</v>
      </c>
      <c r="BR1" t="s">
        <v>74</v>
      </c>
      <c r="BS1" t="s">
        <v>75</v>
      </c>
      <c r="BT1" t="s">
        <v>76</v>
      </c>
      <c r="BU1" t="s">
        <v>77</v>
      </c>
      <c r="BV1" t="s">
        <v>78</v>
      </c>
      <c r="BW1" t="s">
        <v>79</v>
      </c>
      <c r="BX1" t="s">
        <v>80</v>
      </c>
      <c r="BY1" t="s">
        <v>81</v>
      </c>
      <c r="BZ1" t="s">
        <v>82</v>
      </c>
      <c r="CA1" t="s">
        <v>83</v>
      </c>
      <c r="CB1" t="s">
        <v>84</v>
      </c>
      <c r="CC1" t="s">
        <v>85</v>
      </c>
      <c r="CD1" t="s">
        <v>86</v>
      </c>
      <c r="CE1" t="s">
        <v>87</v>
      </c>
      <c r="CF1" t="s">
        <v>88</v>
      </c>
      <c r="CG1" t="s">
        <v>89</v>
      </c>
      <c r="CH1" t="s">
        <v>90</v>
      </c>
      <c r="CI1" t="s">
        <v>91</v>
      </c>
      <c r="CJ1" t="s">
        <v>92</v>
      </c>
      <c r="CK1" t="s">
        <v>93</v>
      </c>
      <c r="CL1" t="s">
        <v>94</v>
      </c>
      <c r="CM1" t="s">
        <v>95</v>
      </c>
      <c r="CN1" t="s">
        <v>96</v>
      </c>
      <c r="CO1" t="s">
        <v>97</v>
      </c>
      <c r="CP1" t="s">
        <v>98</v>
      </c>
      <c r="CQ1" t="s">
        <v>47</v>
      </c>
    </row>
    <row r="2" spans="1:95" x14ac:dyDescent="0.25">
      <c r="A2">
        <f t="array" ref="A2:BM8">_xlfn._xlws.SORT('B-úrslit'!A2:BM8,2,1,FALSE)</f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 t="e">
        <v>#N/A</v>
      </c>
      <c r="O2" t="e">
        <v>#N/A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t="e">
        <v>#DIV/0!</v>
      </c>
      <c r="AB2">
        <v>0</v>
      </c>
      <c r="AC2">
        <v>0</v>
      </c>
      <c r="AD2">
        <v>0</v>
      </c>
      <c r="AE2">
        <v>0</v>
      </c>
      <c r="AF2">
        <v>0</v>
      </c>
      <c r="AG2" t="e">
        <v>#DIV/0!</v>
      </c>
      <c r="AH2">
        <v>0</v>
      </c>
      <c r="AI2">
        <v>0</v>
      </c>
      <c r="AJ2">
        <v>0</v>
      </c>
      <c r="AK2">
        <v>0</v>
      </c>
      <c r="AL2">
        <v>0</v>
      </c>
      <c r="AM2" t="e">
        <v>#DIV/0!</v>
      </c>
      <c r="AN2">
        <v>0</v>
      </c>
      <c r="AO2">
        <v>0</v>
      </c>
      <c r="AP2">
        <v>0</v>
      </c>
      <c r="AQ2">
        <v>0</v>
      </c>
      <c r="AR2">
        <v>0</v>
      </c>
      <c r="AS2" t="e">
        <v>#DIV/0!</v>
      </c>
      <c r="AT2">
        <v>0</v>
      </c>
      <c r="AU2">
        <v>0</v>
      </c>
      <c r="AV2">
        <v>0</v>
      </c>
      <c r="AW2">
        <v>0</v>
      </c>
      <c r="AX2">
        <v>0</v>
      </c>
      <c r="AY2" t="e">
        <v>#DIV/0!</v>
      </c>
      <c r="AZ2">
        <v>0</v>
      </c>
      <c r="BA2">
        <v>0</v>
      </c>
      <c r="BB2">
        <v>0</v>
      </c>
      <c r="BC2">
        <v>0</v>
      </c>
      <c r="BD2">
        <v>0</v>
      </c>
      <c r="BE2" t="e">
        <v>#DIV/0!</v>
      </c>
      <c r="BF2">
        <v>0</v>
      </c>
      <c r="BG2">
        <v>0</v>
      </c>
      <c r="BH2">
        <v>0</v>
      </c>
      <c r="BI2">
        <v>0</v>
      </c>
      <c r="BJ2">
        <v>0</v>
      </c>
      <c r="BK2" t="e">
        <v>#DIV/0!</v>
      </c>
      <c r="BL2" t="str">
        <v>#362C34</v>
      </c>
      <c r="BM2" t="str">
        <v>#F2F2F2</v>
      </c>
      <c r="BO2">
        <f>E$2</f>
        <v>0</v>
      </c>
      <c r="BP2">
        <f>E$3</f>
        <v>0</v>
      </c>
      <c r="BQ2">
        <f>E$4</f>
        <v>0</v>
      </c>
      <c r="BR2">
        <f>E$5</f>
        <v>0</v>
      </c>
      <c r="BS2">
        <f>E$6</f>
        <v>0</v>
      </c>
      <c r="BT2">
        <f>E$7</f>
        <v>0</v>
      </c>
      <c r="BU2">
        <f>E$8</f>
        <v>0</v>
      </c>
      <c r="BV2">
        <f>U$2</f>
        <v>0</v>
      </c>
      <c r="BW2">
        <f>U$3</f>
        <v>0</v>
      </c>
      <c r="BX2">
        <f>U$4</f>
        <v>0</v>
      </c>
      <c r="BY2">
        <f>U$5</f>
        <v>0</v>
      </c>
      <c r="BZ2">
        <f>U$6</f>
        <v>0</v>
      </c>
      <c r="CA2">
        <f>U$7</f>
        <v>0</v>
      </c>
      <c r="CB2">
        <f>U$8</f>
        <v>0</v>
      </c>
      <c r="CC2">
        <f>E$2</f>
        <v>0</v>
      </c>
      <c r="CD2">
        <f>E$3</f>
        <v>0</v>
      </c>
      <c r="CE2">
        <f>E$4</f>
        <v>0</v>
      </c>
      <c r="CF2">
        <f>E$5</f>
        <v>0</v>
      </c>
      <c r="CG2">
        <f>E$6</f>
        <v>0</v>
      </c>
      <c r="CH2">
        <f>E$7</f>
        <v>0</v>
      </c>
      <c r="CI2">
        <f>E$8</f>
        <v>0</v>
      </c>
      <c r="CJ2">
        <v>6</v>
      </c>
      <c r="CK2">
        <v>7</v>
      </c>
      <c r="CL2">
        <v>8</v>
      </c>
      <c r="CM2">
        <v>9</v>
      </c>
      <c r="CN2">
        <v>10</v>
      </c>
      <c r="CO2">
        <v>11</v>
      </c>
      <c r="CP2">
        <v>12</v>
      </c>
      <c r="CQ2" t="s">
        <v>161</v>
      </c>
    </row>
    <row r="3" spans="1:95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 t="e">
        <v>#N/A</v>
      </c>
      <c r="O3" t="e">
        <v>#N/A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t="e">
        <v>#DIV/0!</v>
      </c>
      <c r="AB3">
        <v>0</v>
      </c>
      <c r="AC3">
        <v>0</v>
      </c>
      <c r="AD3">
        <v>0</v>
      </c>
      <c r="AE3">
        <v>0</v>
      </c>
      <c r="AF3">
        <v>0</v>
      </c>
      <c r="AG3" t="e">
        <v>#DIV/0!</v>
      </c>
      <c r="AH3">
        <v>0</v>
      </c>
      <c r="AI3">
        <v>0</v>
      </c>
      <c r="AJ3">
        <v>0</v>
      </c>
      <c r="AK3">
        <v>0</v>
      </c>
      <c r="AL3">
        <v>0</v>
      </c>
      <c r="AM3" t="e">
        <v>#DIV/0!</v>
      </c>
      <c r="AN3">
        <v>0</v>
      </c>
      <c r="AO3">
        <v>0</v>
      </c>
      <c r="AP3">
        <v>0</v>
      </c>
      <c r="AQ3">
        <v>0</v>
      </c>
      <c r="AR3">
        <v>0</v>
      </c>
      <c r="AS3" t="e">
        <v>#DIV/0!</v>
      </c>
      <c r="AT3">
        <v>0</v>
      </c>
      <c r="AU3">
        <v>0</v>
      </c>
      <c r="AV3">
        <v>0</v>
      </c>
      <c r="AW3">
        <v>0</v>
      </c>
      <c r="AX3">
        <v>0</v>
      </c>
      <c r="AY3" t="e">
        <v>#DIV/0!</v>
      </c>
      <c r="AZ3">
        <v>0</v>
      </c>
      <c r="BA3">
        <v>0</v>
      </c>
      <c r="BB3">
        <v>0</v>
      </c>
      <c r="BC3">
        <v>0</v>
      </c>
      <c r="BD3">
        <v>0</v>
      </c>
      <c r="BE3" t="e">
        <v>#DIV/0!</v>
      </c>
      <c r="BF3">
        <v>0</v>
      </c>
      <c r="BG3">
        <v>0</v>
      </c>
      <c r="BH3">
        <v>0</v>
      </c>
      <c r="BI3">
        <v>0</v>
      </c>
      <c r="BJ3">
        <v>0</v>
      </c>
      <c r="BK3" t="e">
        <v>#DIV/0!</v>
      </c>
      <c r="BL3" t="str">
        <v>#362C35</v>
      </c>
      <c r="BM3" t="str">
        <v>#F2F2F3</v>
      </c>
    </row>
    <row r="4" spans="1:95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 t="e">
        <v>#N/A</v>
      </c>
      <c r="O4" t="e">
        <v>#N/A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t="e">
        <v>#DIV/0!</v>
      </c>
      <c r="AB4">
        <v>0</v>
      </c>
      <c r="AC4">
        <v>0</v>
      </c>
      <c r="AD4">
        <v>0</v>
      </c>
      <c r="AE4">
        <v>0</v>
      </c>
      <c r="AF4">
        <v>0</v>
      </c>
      <c r="AG4" t="e">
        <v>#DIV/0!</v>
      </c>
      <c r="AH4">
        <v>0</v>
      </c>
      <c r="AI4">
        <v>0</v>
      </c>
      <c r="AJ4">
        <v>0</v>
      </c>
      <c r="AK4">
        <v>0</v>
      </c>
      <c r="AL4">
        <v>0</v>
      </c>
      <c r="AM4" t="e">
        <v>#DIV/0!</v>
      </c>
      <c r="AN4">
        <v>0</v>
      </c>
      <c r="AO4">
        <v>0</v>
      </c>
      <c r="AP4">
        <v>0</v>
      </c>
      <c r="AQ4">
        <v>0</v>
      </c>
      <c r="AR4">
        <v>0</v>
      </c>
      <c r="AS4" t="e">
        <v>#DIV/0!</v>
      </c>
      <c r="AT4">
        <v>0</v>
      </c>
      <c r="AU4">
        <v>0</v>
      </c>
      <c r="AV4">
        <v>0</v>
      </c>
      <c r="AW4">
        <v>0</v>
      </c>
      <c r="AX4">
        <v>0</v>
      </c>
      <c r="AY4" t="e">
        <v>#DIV/0!</v>
      </c>
      <c r="AZ4">
        <v>0</v>
      </c>
      <c r="BA4">
        <v>0</v>
      </c>
      <c r="BB4">
        <v>0</v>
      </c>
      <c r="BC4">
        <v>0</v>
      </c>
      <c r="BD4">
        <v>0</v>
      </c>
      <c r="BE4" t="e">
        <v>#DIV/0!</v>
      </c>
      <c r="BF4">
        <v>0</v>
      </c>
      <c r="BG4">
        <v>0</v>
      </c>
      <c r="BH4">
        <v>0</v>
      </c>
      <c r="BI4">
        <v>0</v>
      </c>
      <c r="BJ4">
        <v>0</v>
      </c>
      <c r="BK4" t="e">
        <v>#DIV/0!</v>
      </c>
      <c r="BL4" t="str">
        <v>#362C36</v>
      </c>
      <c r="BM4" t="str">
        <v>#F2F2F4</v>
      </c>
    </row>
    <row r="5" spans="1:95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 t="e">
        <v>#N/A</v>
      </c>
      <c r="O5" t="e">
        <v>#N/A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t="e">
        <v>#DIV/0!</v>
      </c>
      <c r="AB5">
        <v>0</v>
      </c>
      <c r="AC5">
        <v>0</v>
      </c>
      <c r="AD5">
        <v>0</v>
      </c>
      <c r="AE5">
        <v>0</v>
      </c>
      <c r="AF5">
        <v>0</v>
      </c>
      <c r="AG5" t="e">
        <v>#DIV/0!</v>
      </c>
      <c r="AH5">
        <v>0</v>
      </c>
      <c r="AI5">
        <v>0</v>
      </c>
      <c r="AJ5">
        <v>0</v>
      </c>
      <c r="AK5">
        <v>0</v>
      </c>
      <c r="AL5">
        <v>0</v>
      </c>
      <c r="AM5" t="e">
        <v>#DIV/0!</v>
      </c>
      <c r="AN5">
        <v>0</v>
      </c>
      <c r="AO5">
        <v>0</v>
      </c>
      <c r="AP5">
        <v>0</v>
      </c>
      <c r="AQ5">
        <v>0</v>
      </c>
      <c r="AR5">
        <v>0</v>
      </c>
      <c r="AS5" t="e">
        <v>#DIV/0!</v>
      </c>
      <c r="AT5">
        <v>0</v>
      </c>
      <c r="AU5">
        <v>0</v>
      </c>
      <c r="AV5">
        <v>0</v>
      </c>
      <c r="AW5">
        <v>0</v>
      </c>
      <c r="AX5">
        <v>0</v>
      </c>
      <c r="AY5" t="e">
        <v>#DIV/0!</v>
      </c>
      <c r="AZ5">
        <v>0</v>
      </c>
      <c r="BA5">
        <v>0</v>
      </c>
      <c r="BB5">
        <v>0</v>
      </c>
      <c r="BC5">
        <v>0</v>
      </c>
      <c r="BD5">
        <v>0</v>
      </c>
      <c r="BE5" t="e">
        <v>#DIV/0!</v>
      </c>
      <c r="BF5">
        <v>0</v>
      </c>
      <c r="BG5">
        <v>0</v>
      </c>
      <c r="BH5">
        <v>0</v>
      </c>
      <c r="BI5">
        <v>0</v>
      </c>
      <c r="BJ5">
        <v>0</v>
      </c>
      <c r="BK5" t="e">
        <v>#DIV/0!</v>
      </c>
      <c r="BL5" t="str">
        <v>#362C37</v>
      </c>
      <c r="BM5" t="str">
        <v>#F2F2F5</v>
      </c>
    </row>
    <row r="6" spans="1:95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 t="e">
        <v>#N/A</v>
      </c>
      <c r="O6" t="e">
        <v>#N/A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t="e">
        <v>#DIV/0!</v>
      </c>
      <c r="AB6">
        <v>0</v>
      </c>
      <c r="AC6">
        <v>0</v>
      </c>
      <c r="AD6">
        <v>0</v>
      </c>
      <c r="AE6">
        <v>0</v>
      </c>
      <c r="AF6">
        <v>0</v>
      </c>
      <c r="AG6" t="e">
        <v>#DIV/0!</v>
      </c>
      <c r="AH6">
        <v>0</v>
      </c>
      <c r="AI6">
        <v>0</v>
      </c>
      <c r="AJ6">
        <v>0</v>
      </c>
      <c r="AK6">
        <v>0</v>
      </c>
      <c r="AL6">
        <v>0</v>
      </c>
      <c r="AM6" t="e">
        <v>#DIV/0!</v>
      </c>
      <c r="AN6">
        <v>0</v>
      </c>
      <c r="AO6">
        <v>0</v>
      </c>
      <c r="AP6">
        <v>0</v>
      </c>
      <c r="AQ6">
        <v>0</v>
      </c>
      <c r="AR6">
        <v>0</v>
      </c>
      <c r="AS6" t="e">
        <v>#DIV/0!</v>
      </c>
      <c r="AT6">
        <v>0</v>
      </c>
      <c r="AU6">
        <v>0</v>
      </c>
      <c r="AV6">
        <v>0</v>
      </c>
      <c r="AW6">
        <v>0</v>
      </c>
      <c r="AX6">
        <v>0</v>
      </c>
      <c r="AY6" t="e">
        <v>#DIV/0!</v>
      </c>
      <c r="AZ6">
        <v>0</v>
      </c>
      <c r="BA6">
        <v>0</v>
      </c>
      <c r="BB6">
        <v>0</v>
      </c>
      <c r="BC6">
        <v>0</v>
      </c>
      <c r="BD6">
        <v>0</v>
      </c>
      <c r="BE6" t="e">
        <v>#DIV/0!</v>
      </c>
      <c r="BF6">
        <v>0</v>
      </c>
      <c r="BG6">
        <v>0</v>
      </c>
      <c r="BH6">
        <v>0</v>
      </c>
      <c r="BI6">
        <v>0</v>
      </c>
      <c r="BJ6">
        <v>0</v>
      </c>
      <c r="BK6" t="e">
        <v>#DIV/0!</v>
      </c>
      <c r="BL6" t="str">
        <v>#362C38</v>
      </c>
      <c r="BM6" t="str">
        <v>#F2F2F6</v>
      </c>
    </row>
    <row r="7" spans="1:95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t="e">
        <v>#DIV/0!</v>
      </c>
      <c r="AB7">
        <v>0</v>
      </c>
      <c r="AC7">
        <v>0</v>
      </c>
      <c r="AD7">
        <v>0</v>
      </c>
      <c r="AE7">
        <v>0</v>
      </c>
      <c r="AF7">
        <v>0</v>
      </c>
      <c r="AG7" t="e">
        <v>#DIV/0!</v>
      </c>
      <c r="AH7">
        <v>0</v>
      </c>
      <c r="AI7">
        <v>0</v>
      </c>
      <c r="AJ7">
        <v>0</v>
      </c>
      <c r="AK7">
        <v>0</v>
      </c>
      <c r="AL7">
        <v>0</v>
      </c>
      <c r="AM7" t="e">
        <v>#DIV/0!</v>
      </c>
      <c r="AN7">
        <v>0</v>
      </c>
      <c r="AO7">
        <v>0</v>
      </c>
      <c r="AP7">
        <v>0</v>
      </c>
      <c r="AQ7">
        <v>0</v>
      </c>
      <c r="AR7">
        <v>0</v>
      </c>
      <c r="AS7" t="e">
        <v>#DIV/0!</v>
      </c>
      <c r="AT7">
        <v>0</v>
      </c>
      <c r="AU7">
        <v>0</v>
      </c>
      <c r="AV7">
        <v>0</v>
      </c>
      <c r="AW7">
        <v>0</v>
      </c>
      <c r="AX7">
        <v>0</v>
      </c>
      <c r="AY7" t="e">
        <v>#DIV/0!</v>
      </c>
      <c r="AZ7">
        <v>0</v>
      </c>
      <c r="BA7">
        <v>0</v>
      </c>
      <c r="BB7">
        <v>0</v>
      </c>
      <c r="BC7">
        <v>0</v>
      </c>
      <c r="BD7">
        <v>0</v>
      </c>
      <c r="BE7" t="e">
        <v>#DIV/0!</v>
      </c>
      <c r="BF7">
        <v>0</v>
      </c>
      <c r="BG7">
        <v>0</v>
      </c>
      <c r="BH7">
        <v>0</v>
      </c>
      <c r="BI7">
        <v>0</v>
      </c>
      <c r="BJ7">
        <v>0</v>
      </c>
      <c r="BK7" t="e">
        <v>#DIV/0!</v>
      </c>
      <c r="BL7">
        <v>0</v>
      </c>
      <c r="BM7">
        <v>0</v>
      </c>
    </row>
    <row r="8" spans="1:95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t="e">
        <v>#DIV/0!</v>
      </c>
      <c r="AB8">
        <v>0</v>
      </c>
      <c r="AC8">
        <v>0</v>
      </c>
      <c r="AD8">
        <v>0</v>
      </c>
      <c r="AE8">
        <v>0</v>
      </c>
      <c r="AF8">
        <v>0</v>
      </c>
      <c r="AG8" t="e">
        <v>#DIV/0!</v>
      </c>
      <c r="AH8">
        <v>0</v>
      </c>
      <c r="AI8">
        <v>0</v>
      </c>
      <c r="AJ8">
        <v>0</v>
      </c>
      <c r="AK8">
        <v>0</v>
      </c>
      <c r="AL8">
        <v>0</v>
      </c>
      <c r="AM8" t="e">
        <v>#DIV/0!</v>
      </c>
      <c r="AN8">
        <v>0</v>
      </c>
      <c r="AO8">
        <v>0</v>
      </c>
      <c r="AP8">
        <v>0</v>
      </c>
      <c r="AQ8">
        <v>0</v>
      </c>
      <c r="AR8">
        <v>0</v>
      </c>
      <c r="AS8" t="e">
        <v>#DIV/0!</v>
      </c>
      <c r="AT8">
        <v>0</v>
      </c>
      <c r="AU8">
        <v>0</v>
      </c>
      <c r="AV8">
        <v>0</v>
      </c>
      <c r="AW8">
        <v>0</v>
      </c>
      <c r="AX8">
        <v>0</v>
      </c>
      <c r="AY8" t="e">
        <v>#DIV/0!</v>
      </c>
      <c r="AZ8">
        <v>0</v>
      </c>
      <c r="BA8">
        <v>0</v>
      </c>
      <c r="BB8">
        <v>0</v>
      </c>
      <c r="BC8">
        <v>0</v>
      </c>
      <c r="BD8">
        <v>0</v>
      </c>
      <c r="BE8" t="e">
        <v>#DIV/0!</v>
      </c>
      <c r="BF8">
        <v>0</v>
      </c>
      <c r="BG8">
        <v>0</v>
      </c>
      <c r="BH8">
        <v>0</v>
      </c>
      <c r="BI8">
        <v>0</v>
      </c>
      <c r="BJ8">
        <v>0</v>
      </c>
      <c r="BK8" t="e">
        <v>#DIV/0!</v>
      </c>
      <c r="BL8">
        <v>0</v>
      </c>
      <c r="BM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Q6"/>
  <sheetViews>
    <sheetView zoomScaleNormal="100" workbookViewId="0">
      <selection activeCell="H16" sqref="H16"/>
    </sheetView>
  </sheetViews>
  <sheetFormatPr defaultRowHeight="14.45" customHeight="1" x14ac:dyDescent="0.25"/>
  <cols>
    <col min="1" max="1" width="6" customWidth="1"/>
    <col min="2" max="2" width="8" customWidth="1"/>
    <col min="3" max="4" width="6" customWidth="1"/>
    <col min="5" max="5" width="24" customWidth="1"/>
    <col min="6" max="6" width="14" customWidth="1"/>
    <col min="7" max="7" width="18" customWidth="1"/>
    <col min="8" max="8" width="28" customWidth="1"/>
    <col min="9" max="9" width="20" customWidth="1"/>
    <col min="10" max="10" width="6" customWidth="1"/>
    <col min="11" max="11" width="18" customWidth="1"/>
    <col min="12" max="12" width="10" customWidth="1"/>
    <col min="13" max="14" width="28" customWidth="1"/>
    <col min="15" max="15" width="12.140625" customWidth="1"/>
    <col min="16" max="37" width="8" customWidth="1"/>
    <col min="65" max="65" width="19.5703125" customWidth="1"/>
  </cols>
  <sheetData>
    <row r="1" spans="1:95" ht="14.4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100</v>
      </c>
      <c r="O1" t="s">
        <v>101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102</v>
      </c>
      <c r="W1" t="s">
        <v>103</v>
      </c>
      <c r="X1" t="s">
        <v>104</v>
      </c>
      <c r="Y1" t="s">
        <v>105</v>
      </c>
      <c r="Z1" t="s">
        <v>106</v>
      </c>
      <c r="AA1" t="s">
        <v>107</v>
      </c>
      <c r="AB1" t="s">
        <v>108</v>
      </c>
      <c r="AC1" t="s">
        <v>109</v>
      </c>
      <c r="AD1" t="s">
        <v>110</v>
      </c>
      <c r="AE1" t="s">
        <v>111</v>
      </c>
      <c r="AF1" t="s">
        <v>112</v>
      </c>
      <c r="AG1" t="s">
        <v>113</v>
      </c>
      <c r="AH1" t="s">
        <v>114</v>
      </c>
      <c r="AI1" t="s">
        <v>115</v>
      </c>
      <c r="AJ1" t="s">
        <v>116</v>
      </c>
      <c r="AK1" t="s">
        <v>117</v>
      </c>
      <c r="AL1" t="s">
        <v>118</v>
      </c>
      <c r="AM1" t="s">
        <v>119</v>
      </c>
      <c r="AN1" t="s">
        <v>120</v>
      </c>
      <c r="AO1" t="s">
        <v>121</v>
      </c>
      <c r="AP1" t="s">
        <v>122</v>
      </c>
      <c r="AQ1" t="s">
        <v>123</v>
      </c>
      <c r="AR1" t="s">
        <v>124</v>
      </c>
      <c r="AS1" t="s">
        <v>125</v>
      </c>
      <c r="AT1" t="s">
        <v>126</v>
      </c>
      <c r="AU1" t="s">
        <v>127</v>
      </c>
      <c r="AV1" t="s">
        <v>128</v>
      </c>
      <c r="AW1" t="s">
        <v>129</v>
      </c>
      <c r="AX1" t="s">
        <v>130</v>
      </c>
      <c r="AY1" t="s">
        <v>131</v>
      </c>
      <c r="AZ1" t="s">
        <v>132</v>
      </c>
      <c r="BA1" t="s">
        <v>133</v>
      </c>
      <c r="BB1" t="s">
        <v>134</v>
      </c>
      <c r="BC1" t="s">
        <v>135</v>
      </c>
      <c r="BD1" t="s">
        <v>136</v>
      </c>
      <c r="BE1" t="s">
        <v>137</v>
      </c>
      <c r="BF1" t="s">
        <v>138</v>
      </c>
      <c r="BG1" t="s">
        <v>139</v>
      </c>
      <c r="BH1" t="s">
        <v>140</v>
      </c>
      <c r="BI1" t="s">
        <v>141</v>
      </c>
      <c r="BJ1" t="s">
        <v>142</v>
      </c>
      <c r="BK1" t="s">
        <v>143</v>
      </c>
      <c r="BL1" t="s">
        <v>144</v>
      </c>
      <c r="BM1" t="s">
        <v>145</v>
      </c>
      <c r="BO1" t="s">
        <v>19</v>
      </c>
      <c r="BP1" t="s">
        <v>20</v>
      </c>
      <c r="BQ1" t="s">
        <v>21</v>
      </c>
      <c r="BR1" t="s">
        <v>22</v>
      </c>
      <c r="BS1" t="s">
        <v>23</v>
      </c>
      <c r="BT1" t="s">
        <v>24</v>
      </c>
      <c r="BU1" t="s">
        <v>25</v>
      </c>
      <c r="BV1" t="s">
        <v>26</v>
      </c>
      <c r="BW1" t="s">
        <v>27</v>
      </c>
      <c r="BX1" t="s">
        <v>28</v>
      </c>
      <c r="BY1" t="s">
        <v>29</v>
      </c>
      <c r="BZ1" t="s">
        <v>30</v>
      </c>
      <c r="CA1" t="s">
        <v>31</v>
      </c>
      <c r="CB1" t="s">
        <v>32</v>
      </c>
      <c r="CC1" t="s">
        <v>33</v>
      </c>
      <c r="CD1" t="s">
        <v>34</v>
      </c>
      <c r="CE1" t="s">
        <v>35</v>
      </c>
      <c r="CF1" t="s">
        <v>36</v>
      </c>
      <c r="CG1" t="s">
        <v>37</v>
      </c>
      <c r="CH1" t="s">
        <v>38</v>
      </c>
      <c r="CI1" t="s">
        <v>39</v>
      </c>
      <c r="CJ1" t="s">
        <v>40</v>
      </c>
      <c r="CK1" t="s">
        <v>41</v>
      </c>
      <c r="CL1" t="s">
        <v>42</v>
      </c>
      <c r="CM1" t="s">
        <v>43</v>
      </c>
      <c r="CN1" t="s">
        <v>44</v>
      </c>
      <c r="CO1" t="s">
        <v>45</v>
      </c>
      <c r="CP1" t="s">
        <v>46</v>
      </c>
      <c r="CQ1" t="s">
        <v>47</v>
      </c>
    </row>
    <row r="2" spans="1:95" ht="15" customHeight="1" x14ac:dyDescent="0.25">
      <c r="N2" t="e">
        <f t="array" ref="N2">_xlfn.IFS(F2="1 - Rauður", "#FF0000",F2="2 - Gulur","#FFFF00",F2="3 - Grænn", "#008000",F2="4 - Blár", "#0000FF",F2="5 - Hvítur", "#FFFFFF")</f>
        <v>#N/A</v>
      </c>
      <c r="O2" t="e">
        <f t="array" ref="O2">_xlfn.IFS(F2="1 - Rauður", "#FF0000",F2="2 - Gulur","#FFFF00",F2="3 - Grænn", "#008000",F2="4 - Blár", "#0000FF",F2="5 - Hvítur", "#FFFFFF")</f>
        <v>#N/A</v>
      </c>
      <c r="P2" s="2"/>
      <c r="Q2" s="2"/>
      <c r="R2" s="2"/>
      <c r="S2" s="2"/>
      <c r="T2" s="2"/>
      <c r="U2" s="1"/>
      <c r="V2" s="2"/>
      <c r="W2" s="2"/>
      <c r="X2" s="2"/>
      <c r="Y2" s="2"/>
      <c r="Z2" s="2"/>
      <c r="AA2" s="1" t="e">
        <f>AVERAGE(V2:Z2)</f>
        <v>#DIV/0!</v>
      </c>
      <c r="AB2" s="2"/>
      <c r="AC2" s="2"/>
      <c r="AD2" s="2"/>
      <c r="AE2" s="2"/>
      <c r="AF2" s="2"/>
      <c r="AG2" s="1" t="e">
        <f>AVERAGE(AB2:AF2)</f>
        <v>#DIV/0!</v>
      </c>
      <c r="AH2" s="2"/>
      <c r="AI2" s="2"/>
      <c r="AJ2" s="2"/>
      <c r="AK2" s="2"/>
      <c r="AL2" s="2"/>
      <c r="AM2" s="1" t="e">
        <f>AVERAGE(AH2:AL2)</f>
        <v>#DIV/0!</v>
      </c>
      <c r="AS2" s="1" t="e">
        <f>AVERAGE(AN2:AR2)</f>
        <v>#DIV/0!</v>
      </c>
      <c r="AY2" s="1" t="e">
        <f>AVERAGE(AT2:AX2)</f>
        <v>#DIV/0!</v>
      </c>
      <c r="BE2" s="1" t="e">
        <f>AVERAGE(AZ2:BD2)</f>
        <v>#DIV/0!</v>
      </c>
      <c r="BK2" s="1" t="e">
        <f>AVERAGE(BF2:BJ2)</f>
        <v>#DIV/0!</v>
      </c>
      <c r="BL2" t="s">
        <v>146</v>
      </c>
      <c r="BM2" t="s">
        <v>147</v>
      </c>
      <c r="BO2">
        <f>E$2</f>
        <v>0</v>
      </c>
      <c r="BP2">
        <f>E$3</f>
        <v>0</v>
      </c>
      <c r="BQ2">
        <f>E$4</f>
        <v>0</v>
      </c>
      <c r="BR2">
        <f>E$5</f>
        <v>0</v>
      </c>
      <c r="BS2">
        <f>E$6</f>
        <v>0</v>
      </c>
      <c r="BT2">
        <f>E$7</f>
        <v>0</v>
      </c>
      <c r="BU2">
        <f>E$8</f>
        <v>0</v>
      </c>
      <c r="BV2">
        <f>H$2</f>
        <v>0</v>
      </c>
      <c r="BW2">
        <f>H$3</f>
        <v>0</v>
      </c>
      <c r="BX2">
        <f>H$4</f>
        <v>0</v>
      </c>
      <c r="BY2">
        <f>H$5</f>
        <v>0</v>
      </c>
      <c r="BZ2">
        <f>H$6</f>
        <v>0</v>
      </c>
      <c r="CA2">
        <f>H$7</f>
        <v>0</v>
      </c>
      <c r="CB2">
        <f>H$8</f>
        <v>0</v>
      </c>
      <c r="CC2">
        <f>L$2</f>
        <v>0</v>
      </c>
      <c r="CD2">
        <f>L$3</f>
        <v>0</v>
      </c>
      <c r="CE2">
        <f>L$4</f>
        <v>0</v>
      </c>
      <c r="CF2">
        <f>L$5</f>
        <v>0</v>
      </c>
      <c r="CG2">
        <f>L$6</f>
        <v>0</v>
      </c>
      <c r="CH2">
        <f>L$7</f>
        <v>0</v>
      </c>
      <c r="CI2">
        <f>L$8</f>
        <v>0</v>
      </c>
      <c r="CJ2">
        <v>1</v>
      </c>
      <c r="CK2">
        <v>2</v>
      </c>
      <c r="CL2">
        <v>3</v>
      </c>
      <c r="CM2">
        <v>4</v>
      </c>
      <c r="CN2">
        <v>5</v>
      </c>
      <c r="CO2">
        <v>6</v>
      </c>
      <c r="CP2">
        <v>7</v>
      </c>
      <c r="CQ2" t="s">
        <v>162</v>
      </c>
    </row>
    <row r="3" spans="1:95" ht="15" customHeight="1" x14ac:dyDescent="0.25">
      <c r="N3" t="e">
        <f t="array" ref="N3">_xlfn.IFS(F3="1 - Rauður", "#FF0000",F3="2 - Gulur","#FFFF00",F3="3 - Grænn", "#008000",F3="4 - Blár", "#0000FF",F3="5 - Hvítur", "#FFFFFF")</f>
        <v>#N/A</v>
      </c>
      <c r="O3" t="e">
        <f t="array" ref="O3">_xlfn.IFS(F3="1 - Rauður", "#FF0000",F3="2 - Gulur","#FFFF00",F3="3 - Grænn", "#008000",F3="4 - Blár", "#0000FF",F3="5 - Hvítur", "#FFFFFF")</f>
        <v>#N/A</v>
      </c>
      <c r="P3" s="2"/>
      <c r="Q3" s="2"/>
      <c r="R3" s="2"/>
      <c r="S3" s="2"/>
      <c r="T3" s="2"/>
      <c r="U3" s="1"/>
      <c r="V3" s="2"/>
      <c r="W3" s="2"/>
      <c r="X3" s="2"/>
      <c r="Y3" s="2"/>
      <c r="Z3" s="2"/>
      <c r="AA3" s="1" t="e">
        <f t="shared" ref="AA3:AA6" si="0">AVERAGE(V3:Z3)</f>
        <v>#DIV/0!</v>
      </c>
      <c r="AB3" s="2"/>
      <c r="AC3" s="2"/>
      <c r="AD3" s="2"/>
      <c r="AE3" s="2"/>
      <c r="AF3" s="2"/>
      <c r="AG3" s="1" t="e">
        <f t="shared" ref="AG3:AG6" si="1">AVERAGE(AB3:AF3)</f>
        <v>#DIV/0!</v>
      </c>
      <c r="AH3" s="2"/>
      <c r="AI3" s="2"/>
      <c r="AJ3" s="2"/>
      <c r="AK3" s="2"/>
      <c r="AL3" s="2"/>
      <c r="AM3" s="1" t="e">
        <f t="shared" ref="AM3:AM6" si="2">AVERAGE(AH3:AL3)</f>
        <v>#DIV/0!</v>
      </c>
      <c r="AS3" s="1" t="e">
        <f t="shared" ref="AS3:AS6" si="3">AVERAGE(AN3:AR3)</f>
        <v>#DIV/0!</v>
      </c>
      <c r="AY3" s="1" t="e">
        <f t="shared" ref="AY3:AY6" si="4">AVERAGE(AT3:AX3)</f>
        <v>#DIV/0!</v>
      </c>
      <c r="BE3" s="1" t="e">
        <f t="shared" ref="BE3:BE6" si="5">AVERAGE(AZ3:BD3)</f>
        <v>#DIV/0!</v>
      </c>
      <c r="BK3" s="1" t="e">
        <f t="shared" ref="BK3:BK6" si="6">AVERAGE(BF3:BJ3)</f>
        <v>#DIV/0!</v>
      </c>
      <c r="BL3" t="s">
        <v>150</v>
      </c>
      <c r="BM3" t="s">
        <v>151</v>
      </c>
    </row>
    <row r="4" spans="1:95" ht="15" customHeight="1" x14ac:dyDescent="0.25">
      <c r="N4" t="e">
        <f t="array" ref="N4">_xlfn.IFS(F4="1 - Rauður", "#FF0000",F4="2 - Gulur","#FFFF00",F4="3 - Grænn", "#008000",F4="4 - Blár", "#0000FF",F4="5 - Hvítur", "#FFFFFF")</f>
        <v>#N/A</v>
      </c>
      <c r="O4" t="e">
        <f t="array" ref="O4">_xlfn.IFS(F4="1 - Rauður", "#FF0000",F4="2 - Gulur","#FFFF00",F4="3 - Grænn", "#008000",F4="4 - Blár", "#0000FF",F4="5 - Hvítur", "#FFFFFF")</f>
        <v>#N/A</v>
      </c>
      <c r="P4" s="2"/>
      <c r="Q4" s="2"/>
      <c r="R4" s="2"/>
      <c r="S4" s="2"/>
      <c r="T4" s="2"/>
      <c r="U4" s="1"/>
      <c r="V4" s="2"/>
      <c r="W4" s="2"/>
      <c r="X4" s="2"/>
      <c r="Y4" s="2"/>
      <c r="Z4" s="2"/>
      <c r="AA4" s="1" t="e">
        <f t="shared" si="0"/>
        <v>#DIV/0!</v>
      </c>
      <c r="AB4" s="2"/>
      <c r="AC4" s="2"/>
      <c r="AD4" s="2"/>
      <c r="AE4" s="2"/>
      <c r="AF4" s="2"/>
      <c r="AG4" s="1" t="e">
        <f t="shared" si="1"/>
        <v>#DIV/0!</v>
      </c>
      <c r="AH4" s="2"/>
      <c r="AI4" s="2"/>
      <c r="AJ4" s="2"/>
      <c r="AK4" s="2"/>
      <c r="AL4" s="2"/>
      <c r="AM4" s="1" t="e">
        <f t="shared" si="2"/>
        <v>#DIV/0!</v>
      </c>
      <c r="AS4" s="1" t="e">
        <f t="shared" si="3"/>
        <v>#DIV/0!</v>
      </c>
      <c r="AY4" s="1" t="e">
        <f t="shared" si="4"/>
        <v>#DIV/0!</v>
      </c>
      <c r="BE4" s="1" t="e">
        <f t="shared" si="5"/>
        <v>#DIV/0!</v>
      </c>
      <c r="BK4" s="1" t="e">
        <f t="shared" si="6"/>
        <v>#DIV/0!</v>
      </c>
      <c r="BL4" t="s">
        <v>153</v>
      </c>
      <c r="BM4" t="s">
        <v>154</v>
      </c>
    </row>
    <row r="5" spans="1:95" ht="15" customHeight="1" x14ac:dyDescent="0.25">
      <c r="N5" t="e">
        <f t="array" ref="N5">_xlfn.IFS(F5="1 - Rauður", "#FF0000",F5="2 - Gulur","#FFFF00",F5="3 - Grænn", "#008000",F5="4 - Blár", "#0000FF",F5="5 - Hvítur", "#FFFFFF")</f>
        <v>#N/A</v>
      </c>
      <c r="O5" t="e">
        <f t="array" ref="O5">_xlfn.IFS(F5="1 - Rauður", "#FF0000",F5="2 - Gulur","#FFFF00",F5="3 - Grænn", "#008000",F5="4 - Blár", "#0000FF",F5="5 - Hvítur", "#FFFFFF")</f>
        <v>#N/A</v>
      </c>
      <c r="P5" s="2"/>
      <c r="Q5" s="2"/>
      <c r="R5" s="2"/>
      <c r="S5" s="2"/>
      <c r="T5" s="2"/>
      <c r="U5" s="1"/>
      <c r="V5" s="2"/>
      <c r="W5" s="2"/>
      <c r="X5" s="2"/>
      <c r="Y5" s="2"/>
      <c r="Z5" s="2"/>
      <c r="AA5" s="1" t="e">
        <f t="shared" si="0"/>
        <v>#DIV/0!</v>
      </c>
      <c r="AB5" s="2"/>
      <c r="AC5" s="2"/>
      <c r="AD5" s="2"/>
      <c r="AE5" s="2"/>
      <c r="AF5" s="2"/>
      <c r="AG5" s="1" t="e">
        <f t="shared" si="1"/>
        <v>#DIV/0!</v>
      </c>
      <c r="AH5" s="2"/>
      <c r="AI5" s="2"/>
      <c r="AJ5" s="2"/>
      <c r="AK5" s="2"/>
      <c r="AL5" s="2"/>
      <c r="AM5" s="1" t="e">
        <f t="shared" si="2"/>
        <v>#DIV/0!</v>
      </c>
      <c r="AS5" s="1" t="e">
        <f t="shared" si="3"/>
        <v>#DIV/0!</v>
      </c>
      <c r="AY5" s="1" t="e">
        <f t="shared" si="4"/>
        <v>#DIV/0!</v>
      </c>
      <c r="BE5" s="1" t="e">
        <f t="shared" si="5"/>
        <v>#DIV/0!</v>
      </c>
      <c r="BK5" s="1" t="e">
        <f t="shared" si="6"/>
        <v>#DIV/0!</v>
      </c>
      <c r="BL5" t="s">
        <v>156</v>
      </c>
      <c r="BM5" t="s">
        <v>157</v>
      </c>
    </row>
    <row r="6" spans="1:95" ht="15" customHeight="1" x14ac:dyDescent="0.25">
      <c r="N6" t="e">
        <f t="array" ref="N6">_xlfn.IFS(F6="1 - Rauður", "#FF0000",F6="2 - Gulur","#FFFF00",F6="3 - Grænn", "#008000",F6="4 - Blár", "#0000FF",F6="5 - Hvítur", "#FFFFFF")</f>
        <v>#N/A</v>
      </c>
      <c r="O6" t="e">
        <f t="array" ref="O6">_xlfn.IFS(F6="1 - Rauður", "#FF0000",F6="2 - Gulur","#FFFF00",F6="3 - Grænn", "#008000",F6="4 - Blár", "#0000FF",F6="5 - Hvítur", "#FFFFFF")</f>
        <v>#N/A</v>
      </c>
      <c r="P6" s="2"/>
      <c r="Q6" s="2"/>
      <c r="R6" s="2"/>
      <c r="S6" s="2"/>
      <c r="T6" s="2"/>
      <c r="U6" s="1"/>
      <c r="V6" s="2"/>
      <c r="W6" s="2"/>
      <c r="X6" s="2"/>
      <c r="Y6" s="2"/>
      <c r="Z6" s="2"/>
      <c r="AA6" s="1" t="e">
        <f t="shared" si="0"/>
        <v>#DIV/0!</v>
      </c>
      <c r="AB6" s="2"/>
      <c r="AC6" s="2"/>
      <c r="AD6" s="2"/>
      <c r="AE6" s="2"/>
      <c r="AF6" s="2"/>
      <c r="AG6" s="1" t="e">
        <f t="shared" si="1"/>
        <v>#DIV/0!</v>
      </c>
      <c r="AH6" s="2"/>
      <c r="AI6" s="2"/>
      <c r="AJ6" s="2"/>
      <c r="AK6" s="2"/>
      <c r="AL6" s="2"/>
      <c r="AM6" s="1" t="e">
        <f t="shared" si="2"/>
        <v>#DIV/0!</v>
      </c>
      <c r="AS6" s="1" t="e">
        <f t="shared" si="3"/>
        <v>#DIV/0!</v>
      </c>
      <c r="AY6" s="1" t="e">
        <f t="shared" si="4"/>
        <v>#DIV/0!</v>
      </c>
      <c r="BE6" s="1" t="e">
        <f t="shared" si="5"/>
        <v>#DIV/0!</v>
      </c>
      <c r="BK6" s="1" t="e">
        <f t="shared" si="6"/>
        <v>#DIV/0!</v>
      </c>
      <c r="BL6" t="s">
        <v>159</v>
      </c>
      <c r="BM6" t="s">
        <v>160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Q6"/>
  <sheetViews>
    <sheetView zoomScaleNormal="100" workbookViewId="0">
      <selection activeCell="H9" sqref="H9"/>
    </sheetView>
  </sheetViews>
  <sheetFormatPr defaultRowHeight="15" x14ac:dyDescent="0.25"/>
  <cols>
    <col min="64" max="64" width="22.85546875" customWidth="1"/>
    <col min="65" max="65" width="19.5703125" customWidth="1"/>
  </cols>
  <sheetData>
    <row r="1" spans="1:9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100</v>
      </c>
      <c r="O1" t="s">
        <v>101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102</v>
      </c>
      <c r="W1" t="s">
        <v>103</v>
      </c>
      <c r="X1" t="s">
        <v>104</v>
      </c>
      <c r="Y1" t="s">
        <v>105</v>
      </c>
      <c r="Z1" t="s">
        <v>106</v>
      </c>
      <c r="AA1" t="s">
        <v>107</v>
      </c>
      <c r="AB1" t="s">
        <v>108</v>
      </c>
      <c r="AC1" t="s">
        <v>109</v>
      </c>
      <c r="AD1" t="s">
        <v>110</v>
      </c>
      <c r="AE1" t="s">
        <v>111</v>
      </c>
      <c r="AF1" t="s">
        <v>112</v>
      </c>
      <c r="AG1" t="s">
        <v>113</v>
      </c>
      <c r="AH1" t="s">
        <v>114</v>
      </c>
      <c r="AI1" t="s">
        <v>115</v>
      </c>
      <c r="AJ1" t="s">
        <v>116</v>
      </c>
      <c r="AK1" t="s">
        <v>117</v>
      </c>
      <c r="AL1" t="s">
        <v>118</v>
      </c>
      <c r="AM1" t="s">
        <v>119</v>
      </c>
      <c r="AN1" t="s">
        <v>120</v>
      </c>
      <c r="AO1" t="s">
        <v>121</v>
      </c>
      <c r="AP1" t="s">
        <v>122</v>
      </c>
      <c r="AQ1" t="s">
        <v>123</v>
      </c>
      <c r="AR1" t="s">
        <v>124</v>
      </c>
      <c r="AS1" t="s">
        <v>125</v>
      </c>
      <c r="AT1" t="s">
        <v>126</v>
      </c>
      <c r="AU1" t="s">
        <v>127</v>
      </c>
      <c r="AV1" t="s">
        <v>128</v>
      </c>
      <c r="AW1" t="s">
        <v>129</v>
      </c>
      <c r="AX1" t="s">
        <v>130</v>
      </c>
      <c r="AY1" t="s">
        <v>131</v>
      </c>
      <c r="AZ1" t="s">
        <v>132</v>
      </c>
      <c r="BA1" t="s">
        <v>133</v>
      </c>
      <c r="BB1" t="s">
        <v>134</v>
      </c>
      <c r="BC1" t="s">
        <v>135</v>
      </c>
      <c r="BD1" t="s">
        <v>136</v>
      </c>
      <c r="BE1" t="s">
        <v>137</v>
      </c>
      <c r="BF1" t="s">
        <v>138</v>
      </c>
      <c r="BG1" t="s">
        <v>139</v>
      </c>
      <c r="BH1" t="s">
        <v>140</v>
      </c>
      <c r="BI1" t="s">
        <v>141</v>
      </c>
      <c r="BJ1" t="s">
        <v>142</v>
      </c>
      <c r="BK1" t="s">
        <v>143</v>
      </c>
      <c r="BL1" t="s">
        <v>144</v>
      </c>
      <c r="BM1" t="s">
        <v>145</v>
      </c>
      <c r="BO1" t="s">
        <v>71</v>
      </c>
      <c r="BP1" t="s">
        <v>72</v>
      </c>
      <c r="BQ1" t="s">
        <v>73</v>
      </c>
      <c r="BR1" t="s">
        <v>74</v>
      </c>
      <c r="BS1" t="s">
        <v>75</v>
      </c>
      <c r="BT1" t="s">
        <v>76</v>
      </c>
      <c r="BU1" t="s">
        <v>77</v>
      </c>
      <c r="BV1" t="s">
        <v>78</v>
      </c>
      <c r="BW1" t="s">
        <v>79</v>
      </c>
      <c r="BX1" t="s">
        <v>80</v>
      </c>
      <c r="BY1" t="s">
        <v>81</v>
      </c>
      <c r="BZ1" t="s">
        <v>82</v>
      </c>
      <c r="CA1" t="s">
        <v>83</v>
      </c>
      <c r="CB1" t="s">
        <v>84</v>
      </c>
      <c r="CC1" t="s">
        <v>85</v>
      </c>
      <c r="CD1" t="s">
        <v>86</v>
      </c>
      <c r="CE1" t="s">
        <v>87</v>
      </c>
      <c r="CF1" t="s">
        <v>88</v>
      </c>
      <c r="CG1" t="s">
        <v>89</v>
      </c>
      <c r="CH1" t="s">
        <v>90</v>
      </c>
      <c r="CI1" t="s">
        <v>91</v>
      </c>
      <c r="CJ1" t="s">
        <v>92</v>
      </c>
      <c r="CK1" t="s">
        <v>93</v>
      </c>
      <c r="CL1" t="s">
        <v>94</v>
      </c>
      <c r="CM1" t="s">
        <v>95</v>
      </c>
      <c r="CN1" t="s">
        <v>96</v>
      </c>
      <c r="CO1" t="s">
        <v>97</v>
      </c>
      <c r="CP1" t="s">
        <v>98</v>
      </c>
      <c r="CQ1" t="s">
        <v>47</v>
      </c>
    </row>
    <row r="2" spans="1:95" x14ac:dyDescent="0.25">
      <c r="A2">
        <f t="array" ref="A2:BM6">_xlfn._xlws.SORT('A-úrslit'!A2:BM6,2,1,FALSE)</f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 t="e">
        <v>#N/A</v>
      </c>
      <c r="O2" t="e">
        <v>#N/A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t="e">
        <v>#DIV/0!</v>
      </c>
      <c r="AB2">
        <v>0</v>
      </c>
      <c r="AC2">
        <v>0</v>
      </c>
      <c r="AD2">
        <v>0</v>
      </c>
      <c r="AE2">
        <v>0</v>
      </c>
      <c r="AF2">
        <v>0</v>
      </c>
      <c r="AG2" t="e">
        <v>#DIV/0!</v>
      </c>
      <c r="AH2">
        <v>0</v>
      </c>
      <c r="AI2">
        <v>0</v>
      </c>
      <c r="AJ2">
        <v>0</v>
      </c>
      <c r="AK2">
        <v>0</v>
      </c>
      <c r="AL2">
        <v>0</v>
      </c>
      <c r="AM2" t="e">
        <v>#DIV/0!</v>
      </c>
      <c r="AN2">
        <v>0</v>
      </c>
      <c r="AO2">
        <v>0</v>
      </c>
      <c r="AP2">
        <v>0</v>
      </c>
      <c r="AQ2">
        <v>0</v>
      </c>
      <c r="AR2">
        <v>0</v>
      </c>
      <c r="AS2" t="e">
        <v>#DIV/0!</v>
      </c>
      <c r="AT2">
        <v>0</v>
      </c>
      <c r="AU2">
        <v>0</v>
      </c>
      <c r="AV2">
        <v>0</v>
      </c>
      <c r="AW2">
        <v>0</v>
      </c>
      <c r="AX2">
        <v>0</v>
      </c>
      <c r="AY2" t="e">
        <v>#DIV/0!</v>
      </c>
      <c r="AZ2">
        <v>0</v>
      </c>
      <c r="BA2">
        <v>0</v>
      </c>
      <c r="BB2">
        <v>0</v>
      </c>
      <c r="BC2">
        <v>0</v>
      </c>
      <c r="BD2">
        <v>0</v>
      </c>
      <c r="BE2" t="e">
        <v>#DIV/0!</v>
      </c>
      <c r="BF2">
        <v>0</v>
      </c>
      <c r="BG2">
        <v>0</v>
      </c>
      <c r="BH2">
        <v>0</v>
      </c>
      <c r="BI2">
        <v>0</v>
      </c>
      <c r="BJ2">
        <v>0</v>
      </c>
      <c r="BK2" t="e">
        <v>#DIV/0!</v>
      </c>
      <c r="BL2" t="str">
        <v>#362C34</v>
      </c>
      <c r="BM2" t="str">
        <v>#F2F2F2</v>
      </c>
      <c r="BO2">
        <f>E$2</f>
        <v>0</v>
      </c>
      <c r="BP2">
        <f>E$3</f>
        <v>0</v>
      </c>
      <c r="BQ2">
        <f>E$4</f>
        <v>0</v>
      </c>
      <c r="BR2">
        <f>E$5</f>
        <v>0</v>
      </c>
      <c r="BS2">
        <f>E$6</f>
        <v>0</v>
      </c>
      <c r="BT2">
        <f>E$7</f>
        <v>0</v>
      </c>
      <c r="BU2">
        <f>E$8</f>
        <v>0</v>
      </c>
      <c r="BV2">
        <f>U$2</f>
        <v>0</v>
      </c>
      <c r="BW2">
        <f>U$3</f>
        <v>0</v>
      </c>
      <c r="BX2">
        <f>U$4</f>
        <v>0</v>
      </c>
      <c r="BY2">
        <f>U$5</f>
        <v>0</v>
      </c>
      <c r="BZ2">
        <f>U$6</f>
        <v>0</v>
      </c>
      <c r="CA2">
        <f>U$7</f>
        <v>0</v>
      </c>
      <c r="CB2">
        <f>U$8</f>
        <v>0</v>
      </c>
      <c r="CC2">
        <f>E$2</f>
        <v>0</v>
      </c>
      <c r="CD2">
        <f>E$3</f>
        <v>0</v>
      </c>
      <c r="CE2">
        <f>E$4</f>
        <v>0</v>
      </c>
      <c r="CF2">
        <f>E$5</f>
        <v>0</v>
      </c>
      <c r="CG2">
        <f>E$6</f>
        <v>0</v>
      </c>
      <c r="CH2">
        <f>E$7</f>
        <v>0</v>
      </c>
      <c r="CI2">
        <f>E$8</f>
        <v>0</v>
      </c>
      <c r="CJ2">
        <v>1</v>
      </c>
      <c r="CK2">
        <v>2</v>
      </c>
      <c r="CL2">
        <v>3</v>
      </c>
      <c r="CM2">
        <v>4</v>
      </c>
      <c r="CN2">
        <v>5</v>
      </c>
      <c r="CO2">
        <v>6</v>
      </c>
      <c r="CP2">
        <v>7</v>
      </c>
      <c r="CQ2" t="s">
        <v>163</v>
      </c>
    </row>
    <row r="3" spans="1:95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 t="e">
        <v>#N/A</v>
      </c>
      <c r="O3" t="e">
        <v>#N/A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t="e">
        <v>#DIV/0!</v>
      </c>
      <c r="AB3">
        <v>0</v>
      </c>
      <c r="AC3">
        <v>0</v>
      </c>
      <c r="AD3">
        <v>0</v>
      </c>
      <c r="AE3">
        <v>0</v>
      </c>
      <c r="AF3">
        <v>0</v>
      </c>
      <c r="AG3" t="e">
        <v>#DIV/0!</v>
      </c>
      <c r="AH3">
        <v>0</v>
      </c>
      <c r="AI3">
        <v>0</v>
      </c>
      <c r="AJ3">
        <v>0</v>
      </c>
      <c r="AK3">
        <v>0</v>
      </c>
      <c r="AL3">
        <v>0</v>
      </c>
      <c r="AM3" t="e">
        <v>#DIV/0!</v>
      </c>
      <c r="AN3">
        <v>0</v>
      </c>
      <c r="AO3">
        <v>0</v>
      </c>
      <c r="AP3">
        <v>0</v>
      </c>
      <c r="AQ3">
        <v>0</v>
      </c>
      <c r="AR3">
        <v>0</v>
      </c>
      <c r="AS3" t="e">
        <v>#DIV/0!</v>
      </c>
      <c r="AT3">
        <v>0</v>
      </c>
      <c r="AU3">
        <v>0</v>
      </c>
      <c r="AV3">
        <v>0</v>
      </c>
      <c r="AW3">
        <v>0</v>
      </c>
      <c r="AX3">
        <v>0</v>
      </c>
      <c r="AY3" t="e">
        <v>#DIV/0!</v>
      </c>
      <c r="AZ3">
        <v>0</v>
      </c>
      <c r="BA3">
        <v>0</v>
      </c>
      <c r="BB3">
        <v>0</v>
      </c>
      <c r="BC3">
        <v>0</v>
      </c>
      <c r="BD3">
        <v>0</v>
      </c>
      <c r="BE3" t="e">
        <v>#DIV/0!</v>
      </c>
      <c r="BF3">
        <v>0</v>
      </c>
      <c r="BG3">
        <v>0</v>
      </c>
      <c r="BH3">
        <v>0</v>
      </c>
      <c r="BI3">
        <v>0</v>
      </c>
      <c r="BJ3">
        <v>0</v>
      </c>
      <c r="BK3" t="e">
        <v>#DIV/0!</v>
      </c>
      <c r="BL3" t="str">
        <v>#362C35</v>
      </c>
      <c r="BM3" t="str">
        <v>#F2F2F3</v>
      </c>
    </row>
    <row r="4" spans="1:95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 t="e">
        <v>#N/A</v>
      </c>
      <c r="O4" t="e">
        <v>#N/A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t="e">
        <v>#DIV/0!</v>
      </c>
      <c r="AB4">
        <v>0</v>
      </c>
      <c r="AC4">
        <v>0</v>
      </c>
      <c r="AD4">
        <v>0</v>
      </c>
      <c r="AE4">
        <v>0</v>
      </c>
      <c r="AF4">
        <v>0</v>
      </c>
      <c r="AG4" t="e">
        <v>#DIV/0!</v>
      </c>
      <c r="AH4">
        <v>0</v>
      </c>
      <c r="AI4">
        <v>0</v>
      </c>
      <c r="AJ4">
        <v>0</v>
      </c>
      <c r="AK4">
        <v>0</v>
      </c>
      <c r="AL4">
        <v>0</v>
      </c>
      <c r="AM4" t="e">
        <v>#DIV/0!</v>
      </c>
      <c r="AN4">
        <v>0</v>
      </c>
      <c r="AO4">
        <v>0</v>
      </c>
      <c r="AP4">
        <v>0</v>
      </c>
      <c r="AQ4">
        <v>0</v>
      </c>
      <c r="AR4">
        <v>0</v>
      </c>
      <c r="AS4" t="e">
        <v>#DIV/0!</v>
      </c>
      <c r="AT4">
        <v>0</v>
      </c>
      <c r="AU4">
        <v>0</v>
      </c>
      <c r="AV4">
        <v>0</v>
      </c>
      <c r="AW4">
        <v>0</v>
      </c>
      <c r="AX4">
        <v>0</v>
      </c>
      <c r="AY4" t="e">
        <v>#DIV/0!</v>
      </c>
      <c r="AZ4">
        <v>0</v>
      </c>
      <c r="BA4">
        <v>0</v>
      </c>
      <c r="BB4">
        <v>0</v>
      </c>
      <c r="BC4">
        <v>0</v>
      </c>
      <c r="BD4">
        <v>0</v>
      </c>
      <c r="BE4" t="e">
        <v>#DIV/0!</v>
      </c>
      <c r="BF4">
        <v>0</v>
      </c>
      <c r="BG4">
        <v>0</v>
      </c>
      <c r="BH4">
        <v>0</v>
      </c>
      <c r="BI4">
        <v>0</v>
      </c>
      <c r="BJ4">
        <v>0</v>
      </c>
      <c r="BK4" t="e">
        <v>#DIV/0!</v>
      </c>
      <c r="BL4" t="str">
        <v>#362C36</v>
      </c>
      <c r="BM4" t="str">
        <v>#F2F2F4</v>
      </c>
    </row>
    <row r="5" spans="1:95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 t="e">
        <v>#N/A</v>
      </c>
      <c r="O5" t="e">
        <v>#N/A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t="e">
        <v>#DIV/0!</v>
      </c>
      <c r="AB5">
        <v>0</v>
      </c>
      <c r="AC5">
        <v>0</v>
      </c>
      <c r="AD5">
        <v>0</v>
      </c>
      <c r="AE5">
        <v>0</v>
      </c>
      <c r="AF5">
        <v>0</v>
      </c>
      <c r="AG5" t="e">
        <v>#DIV/0!</v>
      </c>
      <c r="AH5">
        <v>0</v>
      </c>
      <c r="AI5">
        <v>0</v>
      </c>
      <c r="AJ5">
        <v>0</v>
      </c>
      <c r="AK5">
        <v>0</v>
      </c>
      <c r="AL5">
        <v>0</v>
      </c>
      <c r="AM5" t="e">
        <v>#DIV/0!</v>
      </c>
      <c r="AN5">
        <v>0</v>
      </c>
      <c r="AO5">
        <v>0</v>
      </c>
      <c r="AP5">
        <v>0</v>
      </c>
      <c r="AQ5">
        <v>0</v>
      </c>
      <c r="AR5">
        <v>0</v>
      </c>
      <c r="AS5" t="e">
        <v>#DIV/0!</v>
      </c>
      <c r="AT5">
        <v>0</v>
      </c>
      <c r="AU5">
        <v>0</v>
      </c>
      <c r="AV5">
        <v>0</v>
      </c>
      <c r="AW5">
        <v>0</v>
      </c>
      <c r="AX5">
        <v>0</v>
      </c>
      <c r="AY5" t="e">
        <v>#DIV/0!</v>
      </c>
      <c r="AZ5">
        <v>0</v>
      </c>
      <c r="BA5">
        <v>0</v>
      </c>
      <c r="BB5">
        <v>0</v>
      </c>
      <c r="BC5">
        <v>0</v>
      </c>
      <c r="BD5">
        <v>0</v>
      </c>
      <c r="BE5" t="e">
        <v>#DIV/0!</v>
      </c>
      <c r="BF5">
        <v>0</v>
      </c>
      <c r="BG5">
        <v>0</v>
      </c>
      <c r="BH5">
        <v>0</v>
      </c>
      <c r="BI5">
        <v>0</v>
      </c>
      <c r="BJ5">
        <v>0</v>
      </c>
      <c r="BK5" t="e">
        <v>#DIV/0!</v>
      </c>
      <c r="BL5" t="str">
        <v>#362C37</v>
      </c>
      <c r="BM5" t="str">
        <v>#F2F2F5</v>
      </c>
    </row>
    <row r="6" spans="1:95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 t="e">
        <v>#N/A</v>
      </c>
      <c r="O6" t="e">
        <v>#N/A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t="e">
        <v>#DIV/0!</v>
      </c>
      <c r="AB6">
        <v>0</v>
      </c>
      <c r="AC6">
        <v>0</v>
      </c>
      <c r="AD6">
        <v>0</v>
      </c>
      <c r="AE6">
        <v>0</v>
      </c>
      <c r="AF6">
        <v>0</v>
      </c>
      <c r="AG6" t="e">
        <v>#DIV/0!</v>
      </c>
      <c r="AH6">
        <v>0</v>
      </c>
      <c r="AI6">
        <v>0</v>
      </c>
      <c r="AJ6">
        <v>0</v>
      </c>
      <c r="AK6">
        <v>0</v>
      </c>
      <c r="AL6">
        <v>0</v>
      </c>
      <c r="AM6" t="e">
        <v>#DIV/0!</v>
      </c>
      <c r="AN6">
        <v>0</v>
      </c>
      <c r="AO6">
        <v>0</v>
      </c>
      <c r="AP6">
        <v>0</v>
      </c>
      <c r="AQ6">
        <v>0</v>
      </c>
      <c r="AR6">
        <v>0</v>
      </c>
      <c r="AS6" t="e">
        <v>#DIV/0!</v>
      </c>
      <c r="AT6">
        <v>0</v>
      </c>
      <c r="AU6">
        <v>0</v>
      </c>
      <c r="AV6">
        <v>0</v>
      </c>
      <c r="AW6">
        <v>0</v>
      </c>
      <c r="AX6">
        <v>0</v>
      </c>
      <c r="AY6" t="e">
        <v>#DIV/0!</v>
      </c>
      <c r="AZ6">
        <v>0</v>
      </c>
      <c r="BA6">
        <v>0</v>
      </c>
      <c r="BB6">
        <v>0</v>
      </c>
      <c r="BC6">
        <v>0</v>
      </c>
      <c r="BD6">
        <v>0</v>
      </c>
      <c r="BE6" t="e">
        <v>#DIV/0!</v>
      </c>
      <c r="BF6">
        <v>0</v>
      </c>
      <c r="BG6">
        <v>0</v>
      </c>
      <c r="BH6">
        <v>0</v>
      </c>
      <c r="BI6">
        <v>0</v>
      </c>
      <c r="BJ6">
        <v>0</v>
      </c>
      <c r="BK6" t="e">
        <v>#DIV/0!</v>
      </c>
      <c r="BL6" t="str">
        <v>#362C38</v>
      </c>
      <c r="BM6" t="str">
        <v>#F2F2F6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68"/>
  <sheetViews>
    <sheetView zoomScaleNormal="100" workbookViewId="0">
      <selection activeCell="B22" sqref="B22"/>
    </sheetView>
  </sheetViews>
  <sheetFormatPr defaultRowHeight="14.45" customHeight="1" x14ac:dyDescent="0.25"/>
  <cols>
    <col min="1" max="1" width="24" customWidth="1"/>
    <col min="2" max="2" width="28" customWidth="1"/>
    <col min="3" max="4" width="14" customWidth="1"/>
    <col min="5" max="5" width="16" customWidth="1"/>
    <col min="6" max="6" width="12" customWidth="1"/>
    <col min="7" max="7" width="80" customWidth="1"/>
  </cols>
  <sheetData>
    <row r="1" spans="1:7" ht="15" customHeight="1" x14ac:dyDescent="0.25">
      <c r="A1" t="s">
        <v>164</v>
      </c>
      <c r="B1" t="s">
        <v>165</v>
      </c>
      <c r="C1" t="s">
        <v>166</v>
      </c>
      <c r="D1" t="s">
        <v>167</v>
      </c>
      <c r="E1" t="s">
        <v>168</v>
      </c>
      <c r="F1" t="s">
        <v>169</v>
      </c>
      <c r="G1" t="s">
        <v>170</v>
      </c>
    </row>
    <row r="2" spans="1:7" ht="15" customHeight="1" x14ac:dyDescent="0.25">
      <c r="A2" t="s">
        <v>171</v>
      </c>
      <c r="B2" t="s">
        <v>172</v>
      </c>
      <c r="C2">
        <v>70617</v>
      </c>
      <c r="D2">
        <v>203060</v>
      </c>
      <c r="E2">
        <v>3</v>
      </c>
      <c r="F2">
        <v>1</v>
      </c>
      <c r="G2" t="s">
        <v>173</v>
      </c>
    </row>
    <row r="3" spans="1:7" ht="15" customHeight="1" x14ac:dyDescent="0.25">
      <c r="A3" t="s">
        <v>174</v>
      </c>
      <c r="B3" t="s">
        <v>175</v>
      </c>
      <c r="C3">
        <v>70617</v>
      </c>
      <c r="D3">
        <v>103060</v>
      </c>
      <c r="E3">
        <v>3</v>
      </c>
      <c r="F3">
        <v>1</v>
      </c>
      <c r="G3" t="s">
        <v>176</v>
      </c>
    </row>
    <row r="4" spans="1:7" ht="15" customHeight="1" x14ac:dyDescent="0.25">
      <c r="A4" t="s">
        <v>177</v>
      </c>
      <c r="B4" t="s">
        <v>172</v>
      </c>
      <c r="C4" t="s">
        <v>178</v>
      </c>
      <c r="D4" t="s">
        <v>179</v>
      </c>
      <c r="E4" t="s">
        <v>180</v>
      </c>
      <c r="F4" t="s">
        <v>55</v>
      </c>
      <c r="G4" t="s">
        <v>181</v>
      </c>
    </row>
    <row r="5" spans="1:7" ht="15" customHeight="1" x14ac:dyDescent="0.25">
      <c r="A5" t="s">
        <v>182</v>
      </c>
      <c r="B5" t="s">
        <v>172</v>
      </c>
      <c r="C5">
        <v>70617</v>
      </c>
      <c r="D5">
        <v>103060</v>
      </c>
      <c r="E5">
        <v>3</v>
      </c>
      <c r="F5">
        <v>1</v>
      </c>
      <c r="G5" t="s">
        <v>183</v>
      </c>
    </row>
    <row r="6" spans="1:7" ht="15" customHeight="1" x14ac:dyDescent="0.25">
      <c r="A6" t="s">
        <v>184</v>
      </c>
      <c r="B6" t="s">
        <v>185</v>
      </c>
      <c r="C6" t="s">
        <v>186</v>
      </c>
      <c r="D6" t="s">
        <v>55</v>
      </c>
      <c r="E6" t="s">
        <v>55</v>
      </c>
      <c r="F6" t="s">
        <v>55</v>
      </c>
      <c r="G6" t="s">
        <v>187</v>
      </c>
    </row>
    <row r="7" spans="1:7" ht="15" customHeight="1" x14ac:dyDescent="0.25">
      <c r="A7" t="s">
        <v>188</v>
      </c>
      <c r="B7" t="s">
        <v>175</v>
      </c>
      <c r="C7">
        <v>70617</v>
      </c>
      <c r="D7">
        <v>103060</v>
      </c>
      <c r="E7">
        <v>1</v>
      </c>
      <c r="F7">
        <v>1</v>
      </c>
      <c r="G7" t="s">
        <v>189</v>
      </c>
    </row>
    <row r="8" spans="1:7" ht="15" customHeight="1" x14ac:dyDescent="0.25">
      <c r="A8" t="s">
        <v>190</v>
      </c>
      <c r="B8" t="s">
        <v>175</v>
      </c>
      <c r="C8">
        <v>70617</v>
      </c>
      <c r="D8">
        <v>103060</v>
      </c>
      <c r="E8">
        <v>2</v>
      </c>
      <c r="F8">
        <v>1</v>
      </c>
      <c r="G8" t="s">
        <v>191</v>
      </c>
    </row>
    <row r="9" spans="1:7" ht="15" customHeight="1" x14ac:dyDescent="0.25">
      <c r="A9" t="s">
        <v>192</v>
      </c>
      <c r="B9" t="s">
        <v>185</v>
      </c>
      <c r="C9" t="s">
        <v>186</v>
      </c>
      <c r="D9" t="s">
        <v>55</v>
      </c>
      <c r="E9" t="s">
        <v>55</v>
      </c>
      <c r="F9" t="s">
        <v>55</v>
      </c>
      <c r="G9" t="s">
        <v>187</v>
      </c>
    </row>
    <row r="10" spans="1:7" ht="15" customHeight="1" x14ac:dyDescent="0.25">
      <c r="A10" t="s">
        <v>193</v>
      </c>
      <c r="B10" t="s">
        <v>172</v>
      </c>
      <c r="C10">
        <v>70617</v>
      </c>
      <c r="D10">
        <v>103060</v>
      </c>
      <c r="E10">
        <v>2</v>
      </c>
      <c r="F10">
        <v>1</v>
      </c>
      <c r="G10" t="s">
        <v>194</v>
      </c>
    </row>
    <row r="11" spans="1:7" ht="15" customHeight="1" x14ac:dyDescent="0.25">
      <c r="A11" t="s">
        <v>195</v>
      </c>
      <c r="B11" t="s">
        <v>172</v>
      </c>
      <c r="C11">
        <v>70617</v>
      </c>
      <c r="D11">
        <v>103060</v>
      </c>
      <c r="E11">
        <v>1</v>
      </c>
      <c r="F11">
        <v>1</v>
      </c>
      <c r="G11" t="s">
        <v>196</v>
      </c>
    </row>
    <row r="12" spans="1:7" ht="15" customHeight="1" x14ac:dyDescent="0.25">
      <c r="A12" t="s">
        <v>197</v>
      </c>
      <c r="B12" t="s">
        <v>185</v>
      </c>
      <c r="C12" t="s">
        <v>186</v>
      </c>
      <c r="D12" t="s">
        <v>55</v>
      </c>
      <c r="E12" t="s">
        <v>55</v>
      </c>
      <c r="F12" t="s">
        <v>55</v>
      </c>
      <c r="G12" t="s">
        <v>187</v>
      </c>
    </row>
    <row r="13" spans="1:7" ht="15" customHeight="1" x14ac:dyDescent="0.25">
      <c r="A13" t="s">
        <v>198</v>
      </c>
      <c r="B13" t="s">
        <v>175</v>
      </c>
      <c r="C13" t="s">
        <v>199</v>
      </c>
      <c r="D13" t="s">
        <v>200</v>
      </c>
      <c r="E13" t="s">
        <v>55</v>
      </c>
      <c r="F13" t="s">
        <v>201</v>
      </c>
      <c r="G13" t="s">
        <v>202</v>
      </c>
    </row>
    <row r="14" spans="1:7" ht="15" customHeight="1" x14ac:dyDescent="0.25">
      <c r="A14" t="s">
        <v>203</v>
      </c>
      <c r="B14" t="s">
        <v>175</v>
      </c>
      <c r="C14" t="s">
        <v>199</v>
      </c>
      <c r="D14" t="s">
        <v>200</v>
      </c>
      <c r="E14" t="s">
        <v>55</v>
      </c>
      <c r="F14" t="s">
        <v>204</v>
      </c>
      <c r="G14" t="s">
        <v>205</v>
      </c>
    </row>
    <row r="15" spans="1:7" ht="15" customHeight="1" x14ac:dyDescent="0.25">
      <c r="A15" t="s">
        <v>206</v>
      </c>
      <c r="B15" t="s">
        <v>175</v>
      </c>
      <c r="C15" t="s">
        <v>199</v>
      </c>
      <c r="D15" t="s">
        <v>200</v>
      </c>
      <c r="E15" t="s">
        <v>55</v>
      </c>
      <c r="F15" t="s">
        <v>201</v>
      </c>
      <c r="G15" t="s">
        <v>202</v>
      </c>
    </row>
    <row r="16" spans="1:7" ht="15" customHeight="1" x14ac:dyDescent="0.25">
      <c r="A16" t="s">
        <v>207</v>
      </c>
      <c r="B16" t="s">
        <v>185</v>
      </c>
      <c r="C16" t="s">
        <v>208</v>
      </c>
      <c r="D16" t="s">
        <v>55</v>
      </c>
      <c r="E16" t="s">
        <v>55</v>
      </c>
      <c r="F16" t="s">
        <v>55</v>
      </c>
      <c r="G16" t="s">
        <v>209</v>
      </c>
    </row>
    <row r="17" spans="1:7" ht="15" customHeight="1" x14ac:dyDescent="0.25">
      <c r="A17" t="s">
        <v>210</v>
      </c>
      <c r="B17" t="s">
        <v>175</v>
      </c>
      <c r="C17" t="s">
        <v>199</v>
      </c>
      <c r="D17" t="s">
        <v>200</v>
      </c>
      <c r="E17" t="s">
        <v>55</v>
      </c>
      <c r="F17" t="s">
        <v>201</v>
      </c>
      <c r="G17" t="s">
        <v>202</v>
      </c>
    </row>
    <row r="18" spans="1:7" ht="15" customHeight="1" x14ac:dyDescent="0.25">
      <c r="A18" t="s">
        <v>211</v>
      </c>
      <c r="B18" t="s">
        <v>175</v>
      </c>
      <c r="C18" t="s">
        <v>199</v>
      </c>
      <c r="D18" t="s">
        <v>200</v>
      </c>
      <c r="E18" t="s">
        <v>55</v>
      </c>
      <c r="F18" t="s">
        <v>204</v>
      </c>
      <c r="G18" t="s">
        <v>205</v>
      </c>
    </row>
    <row r="19" spans="1:7" ht="15" customHeight="1" x14ac:dyDescent="0.25">
      <c r="A19" t="s">
        <v>212</v>
      </c>
      <c r="B19" t="s">
        <v>172</v>
      </c>
      <c r="C19">
        <v>70617</v>
      </c>
      <c r="D19">
        <v>103060</v>
      </c>
      <c r="E19">
        <v>1</v>
      </c>
      <c r="F19">
        <v>1</v>
      </c>
      <c r="G19" t="s">
        <v>196</v>
      </c>
    </row>
    <row r="20" spans="1:7" ht="15" customHeight="1" x14ac:dyDescent="0.25">
      <c r="A20" t="s">
        <v>213</v>
      </c>
      <c r="B20" t="s">
        <v>172</v>
      </c>
      <c r="C20">
        <v>70617</v>
      </c>
      <c r="D20">
        <v>103060</v>
      </c>
      <c r="E20">
        <v>3</v>
      </c>
      <c r="F20">
        <v>1</v>
      </c>
      <c r="G20" t="s">
        <v>183</v>
      </c>
    </row>
    <row r="21" spans="1:7" ht="15" customHeight="1" x14ac:dyDescent="0.25">
      <c r="A21" t="s">
        <v>214</v>
      </c>
      <c r="B21" t="s">
        <v>175</v>
      </c>
      <c r="C21">
        <v>70617</v>
      </c>
      <c r="D21">
        <v>103060</v>
      </c>
      <c r="E21">
        <v>1</v>
      </c>
      <c r="F21">
        <v>1</v>
      </c>
      <c r="G21" t="s">
        <v>215</v>
      </c>
    </row>
    <row r="22" spans="1:7" ht="15" customHeight="1" x14ac:dyDescent="0.25">
      <c r="A22" t="s">
        <v>216</v>
      </c>
      <c r="B22" t="s">
        <v>175</v>
      </c>
      <c r="C22">
        <v>70617</v>
      </c>
      <c r="D22">
        <v>103060</v>
      </c>
      <c r="E22">
        <v>2</v>
      </c>
      <c r="F22">
        <v>1</v>
      </c>
      <c r="G22" t="s">
        <v>217</v>
      </c>
    </row>
    <row r="23" spans="1:7" ht="15" customHeight="1" x14ac:dyDescent="0.25">
      <c r="A23" t="s">
        <v>218</v>
      </c>
      <c r="B23" t="s">
        <v>175</v>
      </c>
      <c r="C23">
        <v>70617</v>
      </c>
      <c r="D23">
        <v>103060</v>
      </c>
      <c r="E23">
        <v>3</v>
      </c>
      <c r="F23">
        <v>1</v>
      </c>
      <c r="G23" t="s">
        <v>219</v>
      </c>
    </row>
    <row r="24" spans="1:7" ht="15" customHeight="1" x14ac:dyDescent="0.25">
      <c r="A24" t="s">
        <v>220</v>
      </c>
      <c r="B24" t="s">
        <v>175</v>
      </c>
      <c r="C24" t="s">
        <v>199</v>
      </c>
      <c r="D24" t="s">
        <v>221</v>
      </c>
      <c r="E24" t="s">
        <v>55</v>
      </c>
      <c r="F24" t="s">
        <v>204</v>
      </c>
      <c r="G24" t="s">
        <v>222</v>
      </c>
    </row>
    <row r="25" spans="1:7" ht="15" customHeight="1" x14ac:dyDescent="0.25">
      <c r="A25" t="s">
        <v>223</v>
      </c>
      <c r="B25" t="s">
        <v>175</v>
      </c>
      <c r="C25" t="s">
        <v>199</v>
      </c>
      <c r="D25" t="s">
        <v>221</v>
      </c>
      <c r="E25" t="s">
        <v>55</v>
      </c>
      <c r="F25" t="s">
        <v>201</v>
      </c>
      <c r="G25" t="s">
        <v>224</v>
      </c>
    </row>
    <row r="26" spans="1:7" ht="15" customHeight="1" x14ac:dyDescent="0.25">
      <c r="A26" t="s">
        <v>225</v>
      </c>
      <c r="B26" t="s">
        <v>175</v>
      </c>
      <c r="C26" t="s">
        <v>199</v>
      </c>
      <c r="D26" t="s">
        <v>226</v>
      </c>
      <c r="E26" t="s">
        <v>55</v>
      </c>
      <c r="F26" t="s">
        <v>204</v>
      </c>
      <c r="G26" t="s">
        <v>227</v>
      </c>
    </row>
    <row r="27" spans="1:7" ht="15" customHeight="1" x14ac:dyDescent="0.25">
      <c r="A27" t="s">
        <v>228</v>
      </c>
      <c r="B27" t="s">
        <v>175</v>
      </c>
      <c r="C27" t="s">
        <v>199</v>
      </c>
      <c r="D27" t="s">
        <v>226</v>
      </c>
      <c r="E27" t="s">
        <v>55</v>
      </c>
      <c r="F27" t="s">
        <v>201</v>
      </c>
      <c r="G27" t="s">
        <v>229</v>
      </c>
    </row>
    <row r="28" spans="1:7" ht="15" customHeight="1" x14ac:dyDescent="0.25">
      <c r="A28" t="s">
        <v>230</v>
      </c>
      <c r="B28" t="s">
        <v>175</v>
      </c>
      <c r="C28" t="s">
        <v>199</v>
      </c>
      <c r="D28" t="s">
        <v>231</v>
      </c>
      <c r="E28" t="s">
        <v>55</v>
      </c>
      <c r="F28" t="s">
        <v>204</v>
      </c>
      <c r="G28" t="s">
        <v>232</v>
      </c>
    </row>
    <row r="29" spans="1:7" ht="15" customHeight="1" x14ac:dyDescent="0.25">
      <c r="A29" t="s">
        <v>233</v>
      </c>
      <c r="B29" t="s">
        <v>175</v>
      </c>
      <c r="C29" t="s">
        <v>199</v>
      </c>
      <c r="D29" t="s">
        <v>231</v>
      </c>
      <c r="E29" t="s">
        <v>55</v>
      </c>
      <c r="F29" t="s">
        <v>201</v>
      </c>
      <c r="G29" t="s">
        <v>234</v>
      </c>
    </row>
    <row r="30" spans="1:7" ht="15" customHeight="1" x14ac:dyDescent="0.25">
      <c r="A30" t="s">
        <v>235</v>
      </c>
      <c r="B30" t="s">
        <v>175</v>
      </c>
      <c r="C30" t="s">
        <v>199</v>
      </c>
      <c r="D30" t="s">
        <v>236</v>
      </c>
      <c r="E30" t="s">
        <v>55</v>
      </c>
      <c r="F30" t="s">
        <v>204</v>
      </c>
      <c r="G30" t="s">
        <v>237</v>
      </c>
    </row>
    <row r="31" spans="1:7" ht="15" customHeight="1" x14ac:dyDescent="0.25">
      <c r="A31" t="s">
        <v>238</v>
      </c>
      <c r="B31" t="s">
        <v>175</v>
      </c>
      <c r="C31" t="s">
        <v>199</v>
      </c>
      <c r="D31" t="s">
        <v>236</v>
      </c>
      <c r="E31" t="s">
        <v>55</v>
      </c>
      <c r="F31" t="s">
        <v>201</v>
      </c>
      <c r="G31" t="s">
        <v>239</v>
      </c>
    </row>
    <row r="32" spans="1:7" ht="15" customHeight="1" x14ac:dyDescent="0.25">
      <c r="A32" t="s">
        <v>240</v>
      </c>
      <c r="B32" t="s">
        <v>175</v>
      </c>
      <c r="C32" t="s">
        <v>199</v>
      </c>
      <c r="D32" t="s">
        <v>241</v>
      </c>
      <c r="E32" t="s">
        <v>55</v>
      </c>
      <c r="F32" t="s">
        <v>204</v>
      </c>
      <c r="G32" t="s">
        <v>242</v>
      </c>
    </row>
    <row r="33" spans="1:7" ht="15" customHeight="1" x14ac:dyDescent="0.25">
      <c r="A33" t="s">
        <v>243</v>
      </c>
      <c r="B33" t="s">
        <v>175</v>
      </c>
      <c r="C33" t="s">
        <v>199</v>
      </c>
      <c r="D33" t="s">
        <v>241</v>
      </c>
      <c r="E33" t="s">
        <v>55</v>
      </c>
      <c r="F33" t="s">
        <v>201</v>
      </c>
      <c r="G33" t="s">
        <v>244</v>
      </c>
    </row>
    <row r="34" spans="1:7" ht="14.45" customHeight="1" x14ac:dyDescent="0.25">
      <c r="A34" t="s">
        <v>245</v>
      </c>
      <c r="B34" t="s">
        <v>175</v>
      </c>
      <c r="C34" t="s">
        <v>199</v>
      </c>
      <c r="D34" t="s">
        <v>221</v>
      </c>
      <c r="E34" t="s">
        <v>55</v>
      </c>
      <c r="F34" t="s">
        <v>204</v>
      </c>
      <c r="G34" t="s">
        <v>222</v>
      </c>
    </row>
    <row r="35" spans="1:7" ht="14.45" customHeight="1" x14ac:dyDescent="0.25">
      <c r="A35" t="s">
        <v>246</v>
      </c>
      <c r="B35" t="s">
        <v>175</v>
      </c>
      <c r="C35" t="s">
        <v>199</v>
      </c>
      <c r="D35" t="s">
        <v>221</v>
      </c>
      <c r="E35" t="s">
        <v>55</v>
      </c>
      <c r="F35" t="s">
        <v>201</v>
      </c>
      <c r="G35" t="s">
        <v>224</v>
      </c>
    </row>
    <row r="36" spans="1:7" ht="14.45" customHeight="1" x14ac:dyDescent="0.25">
      <c r="A36" t="s">
        <v>247</v>
      </c>
      <c r="B36" t="s">
        <v>175</v>
      </c>
      <c r="C36" t="s">
        <v>199</v>
      </c>
      <c r="D36" t="s">
        <v>200</v>
      </c>
      <c r="E36" t="s">
        <v>55</v>
      </c>
      <c r="F36" t="s">
        <v>204</v>
      </c>
      <c r="G36" t="s">
        <v>205</v>
      </c>
    </row>
    <row r="37" spans="1:7" ht="14.45" customHeight="1" x14ac:dyDescent="0.25">
      <c r="A37" t="s">
        <v>248</v>
      </c>
      <c r="B37" t="s">
        <v>175</v>
      </c>
      <c r="C37" t="s">
        <v>199</v>
      </c>
      <c r="D37" t="s">
        <v>200</v>
      </c>
      <c r="E37" t="s">
        <v>55</v>
      </c>
      <c r="F37" t="s">
        <v>201</v>
      </c>
      <c r="G37" t="s">
        <v>202</v>
      </c>
    </row>
    <row r="38" spans="1:7" ht="14.45" customHeight="1" x14ac:dyDescent="0.25">
      <c r="A38" t="s">
        <v>249</v>
      </c>
      <c r="B38" t="s">
        <v>175</v>
      </c>
      <c r="C38" t="s">
        <v>199</v>
      </c>
      <c r="D38" t="s">
        <v>250</v>
      </c>
      <c r="E38" t="s">
        <v>55</v>
      </c>
      <c r="F38" t="s">
        <v>204</v>
      </c>
      <c r="G38" t="s">
        <v>251</v>
      </c>
    </row>
    <row r="39" spans="1:7" ht="14.45" customHeight="1" x14ac:dyDescent="0.25">
      <c r="A39" t="s">
        <v>252</v>
      </c>
      <c r="B39" t="s">
        <v>175</v>
      </c>
      <c r="C39" t="s">
        <v>199</v>
      </c>
      <c r="D39" t="s">
        <v>250</v>
      </c>
      <c r="E39" t="s">
        <v>55</v>
      </c>
      <c r="F39" t="s">
        <v>201</v>
      </c>
      <c r="G39" t="s">
        <v>253</v>
      </c>
    </row>
    <row r="40" spans="1:7" ht="14.45" customHeight="1" x14ac:dyDescent="0.25">
      <c r="A40" t="s">
        <v>254</v>
      </c>
      <c r="B40" t="s">
        <v>175</v>
      </c>
      <c r="C40" t="s">
        <v>199</v>
      </c>
      <c r="D40" t="s">
        <v>255</v>
      </c>
      <c r="E40" t="s">
        <v>55</v>
      </c>
      <c r="F40" t="s">
        <v>204</v>
      </c>
      <c r="G40" t="s">
        <v>256</v>
      </c>
    </row>
    <row r="41" spans="1:7" ht="14.45" customHeight="1" x14ac:dyDescent="0.25">
      <c r="A41" t="s">
        <v>257</v>
      </c>
      <c r="B41" t="s">
        <v>175</v>
      </c>
      <c r="C41" t="s">
        <v>199</v>
      </c>
      <c r="D41" t="s">
        <v>255</v>
      </c>
      <c r="E41" t="s">
        <v>55</v>
      </c>
      <c r="F41" t="s">
        <v>201</v>
      </c>
      <c r="G41" t="s">
        <v>258</v>
      </c>
    </row>
    <row r="42" spans="1:7" ht="14.45" customHeight="1" x14ac:dyDescent="0.25">
      <c r="A42" t="s">
        <v>259</v>
      </c>
      <c r="B42" t="s">
        <v>175</v>
      </c>
      <c r="C42">
        <v>70617</v>
      </c>
      <c r="D42">
        <v>103060</v>
      </c>
      <c r="E42">
        <v>1</v>
      </c>
      <c r="F42">
        <v>1</v>
      </c>
      <c r="G42" t="s">
        <v>196</v>
      </c>
    </row>
    <row r="43" spans="1:7" ht="14.45" customHeight="1" x14ac:dyDescent="0.25">
      <c r="A43" t="s">
        <v>260</v>
      </c>
      <c r="B43" t="s">
        <v>175</v>
      </c>
      <c r="C43">
        <v>70617</v>
      </c>
      <c r="D43">
        <v>103060</v>
      </c>
      <c r="E43">
        <v>3</v>
      </c>
      <c r="F43">
        <v>1</v>
      </c>
      <c r="G43" t="s">
        <v>183</v>
      </c>
    </row>
    <row r="44" spans="1:7" ht="14.45" customHeight="1" x14ac:dyDescent="0.25">
      <c r="A44" t="s">
        <v>261</v>
      </c>
      <c r="B44" t="s">
        <v>175</v>
      </c>
      <c r="C44">
        <v>70617</v>
      </c>
      <c r="D44">
        <v>103060</v>
      </c>
      <c r="E44">
        <v>2</v>
      </c>
      <c r="F44">
        <v>1</v>
      </c>
      <c r="G44" t="s">
        <v>194</v>
      </c>
    </row>
    <row r="45" spans="1:7" ht="14.45" customHeight="1" x14ac:dyDescent="0.25">
      <c r="A45" t="s">
        <v>262</v>
      </c>
      <c r="B45" t="s">
        <v>172</v>
      </c>
      <c r="C45">
        <v>70617</v>
      </c>
      <c r="D45">
        <v>103060</v>
      </c>
      <c r="E45">
        <v>1</v>
      </c>
      <c r="F45">
        <v>1</v>
      </c>
      <c r="G45" t="s">
        <v>196</v>
      </c>
    </row>
    <row r="46" spans="1:7" ht="14.45" customHeight="1" x14ac:dyDescent="0.25">
      <c r="A46" t="s">
        <v>263</v>
      </c>
      <c r="B46" t="s">
        <v>172</v>
      </c>
      <c r="C46">
        <v>70617</v>
      </c>
      <c r="D46">
        <v>103060</v>
      </c>
      <c r="E46">
        <v>3</v>
      </c>
      <c r="F46">
        <v>1</v>
      </c>
      <c r="G46" t="s">
        <v>183</v>
      </c>
    </row>
    <row r="47" spans="1:7" ht="14.45" customHeight="1" x14ac:dyDescent="0.25">
      <c r="A47" t="s">
        <v>264</v>
      </c>
      <c r="B47" t="s">
        <v>172</v>
      </c>
      <c r="C47">
        <v>70617</v>
      </c>
      <c r="D47">
        <v>103060</v>
      </c>
      <c r="E47">
        <v>2</v>
      </c>
      <c r="F47">
        <v>1</v>
      </c>
      <c r="G47" t="s">
        <v>194</v>
      </c>
    </row>
    <row r="48" spans="1:7" ht="14.45" customHeight="1" x14ac:dyDescent="0.25">
      <c r="A48" t="s">
        <v>265</v>
      </c>
      <c r="B48" t="s">
        <v>185</v>
      </c>
      <c r="C48" t="s">
        <v>186</v>
      </c>
      <c r="D48" t="s">
        <v>55</v>
      </c>
      <c r="E48" t="s">
        <v>55</v>
      </c>
      <c r="F48" t="s">
        <v>55</v>
      </c>
      <c r="G48" t="s">
        <v>187</v>
      </c>
    </row>
    <row r="49" spans="1:7" ht="15" customHeight="1" x14ac:dyDescent="0.25">
      <c r="A49" t="s">
        <v>266</v>
      </c>
      <c r="B49" t="s">
        <v>175</v>
      </c>
      <c r="C49">
        <v>70617</v>
      </c>
      <c r="D49">
        <v>103060</v>
      </c>
      <c r="E49">
        <v>1</v>
      </c>
      <c r="F49">
        <v>1</v>
      </c>
      <c r="G49" t="s">
        <v>196</v>
      </c>
    </row>
    <row r="50" spans="1:7" ht="15" customHeight="1" x14ac:dyDescent="0.25">
      <c r="A50" t="s">
        <v>267</v>
      </c>
      <c r="B50" t="s">
        <v>175</v>
      </c>
      <c r="C50">
        <v>70617</v>
      </c>
      <c r="D50">
        <v>103060</v>
      </c>
      <c r="E50">
        <v>3</v>
      </c>
      <c r="F50">
        <v>1</v>
      </c>
      <c r="G50" t="s">
        <v>183</v>
      </c>
    </row>
    <row r="51" spans="1:7" ht="15" customHeight="1" x14ac:dyDescent="0.25">
      <c r="A51" t="s">
        <v>268</v>
      </c>
      <c r="B51" t="s">
        <v>175</v>
      </c>
      <c r="C51">
        <v>70617</v>
      </c>
      <c r="D51">
        <v>103060</v>
      </c>
      <c r="E51">
        <v>2</v>
      </c>
      <c r="F51">
        <v>1</v>
      </c>
      <c r="G51" t="s">
        <v>194</v>
      </c>
    </row>
    <row r="52" spans="1:7" ht="15" customHeight="1" x14ac:dyDescent="0.25">
      <c r="A52" t="s">
        <v>269</v>
      </c>
      <c r="B52" t="s">
        <v>172</v>
      </c>
      <c r="C52">
        <v>70617</v>
      </c>
      <c r="D52">
        <v>103060</v>
      </c>
      <c r="E52">
        <v>1</v>
      </c>
      <c r="F52">
        <v>1</v>
      </c>
      <c r="G52" t="s">
        <v>196</v>
      </c>
    </row>
    <row r="53" spans="1:7" ht="15" customHeight="1" x14ac:dyDescent="0.25">
      <c r="A53" t="s">
        <v>270</v>
      </c>
      <c r="B53" t="s">
        <v>172</v>
      </c>
      <c r="C53">
        <v>70617</v>
      </c>
      <c r="D53">
        <v>103060</v>
      </c>
      <c r="E53">
        <v>3</v>
      </c>
      <c r="F53">
        <v>1</v>
      </c>
      <c r="G53" t="s">
        <v>183</v>
      </c>
    </row>
    <row r="54" spans="1:7" ht="15" customHeight="1" x14ac:dyDescent="0.25">
      <c r="A54" t="s">
        <v>271</v>
      </c>
      <c r="B54" t="s">
        <v>172</v>
      </c>
      <c r="C54">
        <v>70617</v>
      </c>
      <c r="D54">
        <v>103060</v>
      </c>
      <c r="E54">
        <v>2</v>
      </c>
      <c r="F54">
        <v>1</v>
      </c>
      <c r="G54" t="s">
        <v>194</v>
      </c>
    </row>
    <row r="55" spans="1:7" ht="15" customHeight="1" x14ac:dyDescent="0.25">
      <c r="A55" t="s">
        <v>272</v>
      </c>
      <c r="B55" t="s">
        <v>175</v>
      </c>
      <c r="C55">
        <v>70617</v>
      </c>
      <c r="D55">
        <v>103060</v>
      </c>
      <c r="E55">
        <v>1</v>
      </c>
      <c r="F55">
        <v>1</v>
      </c>
      <c r="G55" t="s">
        <v>215</v>
      </c>
    </row>
    <row r="56" spans="1:7" ht="15" customHeight="1" x14ac:dyDescent="0.25">
      <c r="A56" t="s">
        <v>273</v>
      </c>
      <c r="B56" t="s">
        <v>175</v>
      </c>
      <c r="C56">
        <v>70617</v>
      </c>
      <c r="D56">
        <v>103060</v>
      </c>
      <c r="E56">
        <v>1</v>
      </c>
      <c r="F56">
        <v>1</v>
      </c>
      <c r="G56" t="s">
        <v>215</v>
      </c>
    </row>
    <row r="57" spans="1:7" ht="15" customHeight="1" x14ac:dyDescent="0.25">
      <c r="A57" t="s">
        <v>274</v>
      </c>
      <c r="B57" t="s">
        <v>175</v>
      </c>
      <c r="C57">
        <v>70617</v>
      </c>
      <c r="D57">
        <v>103060</v>
      </c>
      <c r="E57">
        <v>2</v>
      </c>
      <c r="F57">
        <v>1</v>
      </c>
      <c r="G57" t="s">
        <v>217</v>
      </c>
    </row>
    <row r="58" spans="1:7" ht="15" customHeight="1" x14ac:dyDescent="0.25">
      <c r="A58" t="s">
        <v>275</v>
      </c>
      <c r="B58" t="s">
        <v>175</v>
      </c>
      <c r="C58">
        <v>70617</v>
      </c>
      <c r="D58">
        <v>103060</v>
      </c>
      <c r="E58">
        <v>3</v>
      </c>
      <c r="F58">
        <v>1</v>
      </c>
      <c r="G58" t="s">
        <v>219</v>
      </c>
    </row>
    <row r="59" spans="1:7" ht="15" customHeight="1" x14ac:dyDescent="0.25">
      <c r="A59" t="s">
        <v>276</v>
      </c>
      <c r="B59" t="s">
        <v>172</v>
      </c>
      <c r="C59" t="s">
        <v>199</v>
      </c>
      <c r="D59" t="s">
        <v>200</v>
      </c>
      <c r="E59" t="s">
        <v>277</v>
      </c>
      <c r="F59" t="s">
        <v>55</v>
      </c>
      <c r="G59" t="s">
        <v>278</v>
      </c>
    </row>
    <row r="60" spans="1:7" ht="15" customHeight="1" x14ac:dyDescent="0.25">
      <c r="A60" t="s">
        <v>279</v>
      </c>
      <c r="B60" t="s">
        <v>172</v>
      </c>
      <c r="C60" t="s">
        <v>199</v>
      </c>
      <c r="D60" t="s">
        <v>200</v>
      </c>
      <c r="E60" t="s">
        <v>277</v>
      </c>
      <c r="F60" t="s">
        <v>55</v>
      </c>
      <c r="G60" t="s">
        <v>278</v>
      </c>
    </row>
    <row r="61" spans="1:7" ht="15" customHeight="1" x14ac:dyDescent="0.25">
      <c r="A61" t="s">
        <v>280</v>
      </c>
      <c r="B61" t="s">
        <v>185</v>
      </c>
      <c r="C61" t="s">
        <v>199</v>
      </c>
      <c r="D61" t="s">
        <v>55</v>
      </c>
      <c r="E61" t="s">
        <v>55</v>
      </c>
      <c r="F61" t="s">
        <v>55</v>
      </c>
      <c r="G61" t="s">
        <v>281</v>
      </c>
    </row>
    <row r="62" spans="1:7" ht="15" customHeight="1" x14ac:dyDescent="0.25">
      <c r="A62" t="s">
        <v>282</v>
      </c>
      <c r="B62" t="s">
        <v>175</v>
      </c>
      <c r="C62" t="s">
        <v>199</v>
      </c>
      <c r="D62" t="s">
        <v>200</v>
      </c>
      <c r="E62" t="s">
        <v>55</v>
      </c>
      <c r="F62" t="s">
        <v>201</v>
      </c>
      <c r="G62" t="s">
        <v>202</v>
      </c>
    </row>
    <row r="63" spans="1:7" ht="15" customHeight="1" x14ac:dyDescent="0.25">
      <c r="A63" t="s">
        <v>283</v>
      </c>
      <c r="B63" t="s">
        <v>185</v>
      </c>
      <c r="C63" t="s">
        <v>199</v>
      </c>
      <c r="D63" t="s">
        <v>55</v>
      </c>
      <c r="E63" t="s">
        <v>55</v>
      </c>
      <c r="F63" t="s">
        <v>55</v>
      </c>
      <c r="G63" t="s">
        <v>281</v>
      </c>
    </row>
    <row r="64" spans="1:7" ht="15" customHeight="1" x14ac:dyDescent="0.25">
      <c r="A64" t="s">
        <v>284</v>
      </c>
      <c r="B64" t="s">
        <v>175</v>
      </c>
      <c r="C64" t="s">
        <v>199</v>
      </c>
      <c r="D64" t="s">
        <v>200</v>
      </c>
      <c r="E64" t="s">
        <v>55</v>
      </c>
      <c r="F64" t="s">
        <v>201</v>
      </c>
      <c r="G64" t="s">
        <v>202</v>
      </c>
    </row>
    <row r="65" spans="1:7" ht="15" customHeight="1" x14ac:dyDescent="0.25">
      <c r="A65" t="s">
        <v>285</v>
      </c>
      <c r="B65" t="s">
        <v>175</v>
      </c>
      <c r="C65" t="s">
        <v>199</v>
      </c>
      <c r="D65" t="s">
        <v>200</v>
      </c>
      <c r="E65" t="s">
        <v>55</v>
      </c>
      <c r="F65" t="s">
        <v>201</v>
      </c>
      <c r="G65" t="s">
        <v>202</v>
      </c>
    </row>
    <row r="66" spans="1:7" ht="15" customHeight="1" x14ac:dyDescent="0.25">
      <c r="A66" t="s">
        <v>286</v>
      </c>
      <c r="B66" t="s">
        <v>185</v>
      </c>
      <c r="C66" t="s">
        <v>199</v>
      </c>
      <c r="D66" t="s">
        <v>55</v>
      </c>
      <c r="E66" t="s">
        <v>55</v>
      </c>
      <c r="F66" t="s">
        <v>55</v>
      </c>
      <c r="G66" t="s">
        <v>281</v>
      </c>
    </row>
    <row r="67" spans="1:7" ht="15" customHeight="1" x14ac:dyDescent="0.25">
      <c r="A67" t="s">
        <v>287</v>
      </c>
      <c r="B67" t="s">
        <v>172</v>
      </c>
      <c r="C67">
        <v>70617</v>
      </c>
      <c r="D67">
        <v>103060</v>
      </c>
      <c r="E67">
        <v>1</v>
      </c>
      <c r="F67">
        <v>1</v>
      </c>
      <c r="G67" t="s">
        <v>215</v>
      </c>
    </row>
    <row r="68" spans="1:7" ht="15" customHeight="1" x14ac:dyDescent="0.25">
      <c r="A68" t="s">
        <v>288</v>
      </c>
      <c r="B68" t="s">
        <v>175</v>
      </c>
      <c r="C68" t="s">
        <v>289</v>
      </c>
      <c r="D68" t="s">
        <v>290</v>
      </c>
      <c r="E68" t="s">
        <v>55</v>
      </c>
      <c r="F68" t="s">
        <v>204</v>
      </c>
      <c r="G68" t="s">
        <v>291</v>
      </c>
    </row>
    <row r="69" spans="1:7" ht="15" customHeight="1" x14ac:dyDescent="0.25">
      <c r="A69" t="s">
        <v>292</v>
      </c>
      <c r="B69" t="s">
        <v>185</v>
      </c>
      <c r="C69" t="s">
        <v>293</v>
      </c>
      <c r="D69" t="s">
        <v>55</v>
      </c>
      <c r="E69" t="s">
        <v>55</v>
      </c>
      <c r="F69" t="s">
        <v>55</v>
      </c>
      <c r="G69" t="s">
        <v>294</v>
      </c>
    </row>
    <row r="70" spans="1:7" ht="15" customHeight="1" x14ac:dyDescent="0.25">
      <c r="A70" t="s">
        <v>295</v>
      </c>
      <c r="B70" t="s">
        <v>185</v>
      </c>
      <c r="C70" t="s">
        <v>289</v>
      </c>
      <c r="D70" t="s">
        <v>55</v>
      </c>
      <c r="E70" t="s">
        <v>55</v>
      </c>
      <c r="F70" t="s">
        <v>55</v>
      </c>
      <c r="G70" t="s">
        <v>296</v>
      </c>
    </row>
    <row r="71" spans="1:7" ht="15" customHeight="1" x14ac:dyDescent="0.25">
      <c r="A71" t="s">
        <v>297</v>
      </c>
      <c r="B71" t="s">
        <v>175</v>
      </c>
      <c r="C71" t="s">
        <v>289</v>
      </c>
      <c r="D71" t="s">
        <v>298</v>
      </c>
      <c r="E71" t="s">
        <v>55</v>
      </c>
      <c r="F71" t="s">
        <v>204</v>
      </c>
      <c r="G71" t="s">
        <v>299</v>
      </c>
    </row>
    <row r="72" spans="1:7" ht="15" customHeight="1" x14ac:dyDescent="0.25">
      <c r="A72" t="s">
        <v>300</v>
      </c>
      <c r="B72" t="s">
        <v>172</v>
      </c>
      <c r="C72" t="s">
        <v>301</v>
      </c>
      <c r="D72" t="s">
        <v>302</v>
      </c>
      <c r="E72" t="s">
        <v>201</v>
      </c>
      <c r="F72" t="s">
        <v>55</v>
      </c>
      <c r="G72" t="s">
        <v>303</v>
      </c>
    </row>
    <row r="73" spans="1:7" ht="15" customHeight="1" x14ac:dyDescent="0.25">
      <c r="A73" t="s">
        <v>304</v>
      </c>
      <c r="B73" t="s">
        <v>185</v>
      </c>
      <c r="C73" t="s">
        <v>289</v>
      </c>
      <c r="D73" t="s">
        <v>55</v>
      </c>
      <c r="E73" t="s">
        <v>55</v>
      </c>
      <c r="F73" t="s">
        <v>55</v>
      </c>
      <c r="G73" t="s">
        <v>296</v>
      </c>
    </row>
    <row r="74" spans="1:7" ht="15" customHeight="1" x14ac:dyDescent="0.25">
      <c r="A74" t="s">
        <v>305</v>
      </c>
      <c r="B74" t="s">
        <v>172</v>
      </c>
      <c r="C74" t="s">
        <v>301</v>
      </c>
      <c r="D74" t="s">
        <v>306</v>
      </c>
      <c r="E74" t="s">
        <v>201</v>
      </c>
      <c r="F74" t="s">
        <v>55</v>
      </c>
      <c r="G74" t="s">
        <v>307</v>
      </c>
    </row>
    <row r="75" spans="1:7" ht="15" customHeight="1" x14ac:dyDescent="0.25">
      <c r="A75" t="s">
        <v>308</v>
      </c>
      <c r="B75" t="s">
        <v>172</v>
      </c>
      <c r="C75" t="s">
        <v>199</v>
      </c>
      <c r="D75" t="s">
        <v>231</v>
      </c>
      <c r="E75" t="s">
        <v>309</v>
      </c>
      <c r="F75" t="s">
        <v>55</v>
      </c>
      <c r="G75" t="s">
        <v>310</v>
      </c>
    </row>
    <row r="76" spans="1:7" ht="15" customHeight="1" x14ac:dyDescent="0.25">
      <c r="A76" t="s">
        <v>311</v>
      </c>
      <c r="B76" t="s">
        <v>175</v>
      </c>
      <c r="C76" t="s">
        <v>289</v>
      </c>
      <c r="D76" t="s">
        <v>298</v>
      </c>
      <c r="E76" t="s">
        <v>55</v>
      </c>
      <c r="F76" t="s">
        <v>201</v>
      </c>
      <c r="G76" t="s">
        <v>312</v>
      </c>
    </row>
    <row r="77" spans="1:7" ht="15" customHeight="1" x14ac:dyDescent="0.25">
      <c r="A77" t="s">
        <v>313</v>
      </c>
      <c r="B77" t="s">
        <v>175</v>
      </c>
      <c r="C77" t="s">
        <v>289</v>
      </c>
      <c r="D77" t="s">
        <v>290</v>
      </c>
      <c r="E77" t="s">
        <v>55</v>
      </c>
      <c r="F77" t="s">
        <v>201</v>
      </c>
      <c r="G77" t="s">
        <v>314</v>
      </c>
    </row>
    <row r="78" spans="1:7" ht="15" customHeight="1" x14ac:dyDescent="0.25">
      <c r="A78" t="s">
        <v>315</v>
      </c>
      <c r="B78" t="s">
        <v>175</v>
      </c>
      <c r="C78" t="s">
        <v>289</v>
      </c>
      <c r="D78" t="s">
        <v>298</v>
      </c>
      <c r="E78" t="s">
        <v>55</v>
      </c>
      <c r="F78" t="s">
        <v>204</v>
      </c>
      <c r="G78" t="s">
        <v>299</v>
      </c>
    </row>
    <row r="79" spans="1:7" ht="15" customHeight="1" x14ac:dyDescent="0.25">
      <c r="A79" t="s">
        <v>316</v>
      </c>
      <c r="B79" t="s">
        <v>175</v>
      </c>
      <c r="C79" t="s">
        <v>289</v>
      </c>
      <c r="D79" t="s">
        <v>298</v>
      </c>
      <c r="E79" t="s">
        <v>55</v>
      </c>
      <c r="F79" t="s">
        <v>201</v>
      </c>
      <c r="G79" t="s">
        <v>312</v>
      </c>
    </row>
    <row r="80" spans="1:7" ht="15" customHeight="1" x14ac:dyDescent="0.25">
      <c r="A80" t="s">
        <v>317</v>
      </c>
      <c r="B80" t="s">
        <v>172</v>
      </c>
      <c r="C80" t="s">
        <v>199</v>
      </c>
      <c r="D80" t="s">
        <v>231</v>
      </c>
      <c r="E80" t="s">
        <v>309</v>
      </c>
      <c r="F80" t="s">
        <v>55</v>
      </c>
      <c r="G80" t="s">
        <v>310</v>
      </c>
    </row>
    <row r="81" spans="1:7" ht="15" customHeight="1" x14ac:dyDescent="0.25">
      <c r="A81" t="s">
        <v>318</v>
      </c>
      <c r="B81" t="s">
        <v>172</v>
      </c>
      <c r="C81" t="s">
        <v>199</v>
      </c>
      <c r="D81" t="s">
        <v>231</v>
      </c>
      <c r="E81" t="s">
        <v>309</v>
      </c>
      <c r="F81" t="s">
        <v>55</v>
      </c>
      <c r="G81" t="s">
        <v>310</v>
      </c>
    </row>
    <row r="82" spans="1:7" ht="15" customHeight="1" x14ac:dyDescent="0.25">
      <c r="A82" t="s">
        <v>319</v>
      </c>
      <c r="B82" t="s">
        <v>175</v>
      </c>
      <c r="C82">
        <v>70617</v>
      </c>
      <c r="D82">
        <v>103060</v>
      </c>
      <c r="E82">
        <v>1</v>
      </c>
      <c r="F82">
        <v>1</v>
      </c>
      <c r="G82" t="s">
        <v>196</v>
      </c>
    </row>
    <row r="83" spans="1:7" ht="15" customHeight="1" x14ac:dyDescent="0.25">
      <c r="A83" t="s">
        <v>320</v>
      </c>
      <c r="B83" t="s">
        <v>175</v>
      </c>
      <c r="C83">
        <v>70617</v>
      </c>
      <c r="D83">
        <v>103060</v>
      </c>
      <c r="E83">
        <v>1</v>
      </c>
      <c r="F83">
        <v>1</v>
      </c>
      <c r="G83" t="s">
        <v>196</v>
      </c>
    </row>
    <row r="84" spans="1:7" ht="15" customHeight="1" x14ac:dyDescent="0.25">
      <c r="A84" t="s">
        <v>321</v>
      </c>
      <c r="B84" t="s">
        <v>172</v>
      </c>
      <c r="C84" t="s">
        <v>199</v>
      </c>
      <c r="D84" t="s">
        <v>255</v>
      </c>
      <c r="E84" t="s">
        <v>309</v>
      </c>
      <c r="F84" t="s">
        <v>55</v>
      </c>
      <c r="G84" t="s">
        <v>322</v>
      </c>
    </row>
    <row r="85" spans="1:7" ht="15" customHeight="1" x14ac:dyDescent="0.25">
      <c r="A85" t="s">
        <v>323</v>
      </c>
      <c r="B85" t="s">
        <v>172</v>
      </c>
      <c r="C85" t="s">
        <v>199</v>
      </c>
      <c r="D85" t="s">
        <v>255</v>
      </c>
      <c r="E85" t="s">
        <v>309</v>
      </c>
      <c r="F85" t="s">
        <v>55</v>
      </c>
      <c r="G85" t="s">
        <v>322</v>
      </c>
    </row>
    <row r="86" spans="1:7" ht="15" customHeight="1" x14ac:dyDescent="0.25">
      <c r="A86" t="s">
        <v>324</v>
      </c>
      <c r="B86" t="s">
        <v>172</v>
      </c>
      <c r="C86">
        <v>70617</v>
      </c>
      <c r="D86">
        <v>103060</v>
      </c>
      <c r="E86">
        <v>2</v>
      </c>
      <c r="F86">
        <v>1</v>
      </c>
      <c r="G86" t="s">
        <v>194</v>
      </c>
    </row>
    <row r="87" spans="1:7" ht="15" customHeight="1" x14ac:dyDescent="0.25">
      <c r="A87" t="s">
        <v>325</v>
      </c>
      <c r="B87" t="s">
        <v>172</v>
      </c>
      <c r="C87">
        <v>70617</v>
      </c>
      <c r="D87">
        <v>103060</v>
      </c>
      <c r="E87">
        <v>1</v>
      </c>
      <c r="F87">
        <v>1</v>
      </c>
      <c r="G87" t="s">
        <v>196</v>
      </c>
    </row>
    <row r="88" spans="1:7" ht="15" customHeight="1" x14ac:dyDescent="0.25">
      <c r="A88" t="s">
        <v>326</v>
      </c>
      <c r="B88" t="s">
        <v>185</v>
      </c>
      <c r="C88" t="s">
        <v>327</v>
      </c>
      <c r="D88" t="s">
        <v>55</v>
      </c>
      <c r="E88" t="s">
        <v>55</v>
      </c>
      <c r="F88" t="s">
        <v>55</v>
      </c>
      <c r="G88" t="s">
        <v>328</v>
      </c>
    </row>
    <row r="89" spans="1:7" ht="15" customHeight="1" x14ac:dyDescent="0.25">
      <c r="A89" t="s">
        <v>329</v>
      </c>
      <c r="B89" t="s">
        <v>185</v>
      </c>
      <c r="C89" t="s">
        <v>330</v>
      </c>
      <c r="D89" t="s">
        <v>55</v>
      </c>
      <c r="E89" t="s">
        <v>55</v>
      </c>
      <c r="F89" t="s">
        <v>55</v>
      </c>
      <c r="G89" t="s">
        <v>331</v>
      </c>
    </row>
    <row r="90" spans="1:7" ht="15" customHeight="1" x14ac:dyDescent="0.25">
      <c r="A90" t="s">
        <v>332</v>
      </c>
      <c r="B90" t="s">
        <v>175</v>
      </c>
      <c r="C90" t="s">
        <v>330</v>
      </c>
      <c r="D90" t="s">
        <v>333</v>
      </c>
      <c r="E90" t="s">
        <v>55</v>
      </c>
      <c r="F90" t="s">
        <v>201</v>
      </c>
      <c r="G90" t="s">
        <v>334</v>
      </c>
    </row>
    <row r="91" spans="1:7" ht="15" customHeight="1" x14ac:dyDescent="0.25">
      <c r="A91" t="s">
        <v>335</v>
      </c>
      <c r="B91" t="s">
        <v>175</v>
      </c>
      <c r="C91" t="s">
        <v>301</v>
      </c>
      <c r="D91" t="s">
        <v>302</v>
      </c>
      <c r="E91" t="s">
        <v>55</v>
      </c>
      <c r="F91" t="s">
        <v>201</v>
      </c>
      <c r="G91" t="s">
        <v>336</v>
      </c>
    </row>
    <row r="92" spans="1:7" ht="15" customHeight="1" x14ac:dyDescent="0.25">
      <c r="A92" t="s">
        <v>337</v>
      </c>
      <c r="B92" t="s">
        <v>185</v>
      </c>
      <c r="C92" t="s">
        <v>301</v>
      </c>
      <c r="D92" t="s">
        <v>55</v>
      </c>
      <c r="E92" t="s">
        <v>55</v>
      </c>
      <c r="F92" t="s">
        <v>55</v>
      </c>
      <c r="G92" t="s">
        <v>338</v>
      </c>
    </row>
    <row r="93" spans="1:7" ht="15" customHeight="1" x14ac:dyDescent="0.25">
      <c r="A93" t="s">
        <v>339</v>
      </c>
      <c r="B93" t="s">
        <v>185</v>
      </c>
      <c r="C93" t="s">
        <v>327</v>
      </c>
      <c r="D93" t="s">
        <v>55</v>
      </c>
      <c r="E93" t="s">
        <v>55</v>
      </c>
      <c r="F93" t="s">
        <v>55</v>
      </c>
      <c r="G93" t="s">
        <v>328</v>
      </c>
    </row>
    <row r="94" spans="1:7" ht="15" customHeight="1" x14ac:dyDescent="0.25">
      <c r="A94" t="s">
        <v>340</v>
      </c>
      <c r="B94" t="s">
        <v>185</v>
      </c>
      <c r="C94" t="s">
        <v>327</v>
      </c>
      <c r="D94" t="s">
        <v>55</v>
      </c>
      <c r="E94" t="s">
        <v>55</v>
      </c>
      <c r="F94" t="s">
        <v>55</v>
      </c>
      <c r="G94" t="s">
        <v>328</v>
      </c>
    </row>
    <row r="95" spans="1:7" ht="15" customHeight="1" x14ac:dyDescent="0.25">
      <c r="A95" t="s">
        <v>341</v>
      </c>
      <c r="B95" t="s">
        <v>185</v>
      </c>
      <c r="C95" t="s">
        <v>327</v>
      </c>
      <c r="D95" t="s">
        <v>55</v>
      </c>
      <c r="E95" t="s">
        <v>55</v>
      </c>
      <c r="F95" t="s">
        <v>55</v>
      </c>
      <c r="G95" t="s">
        <v>328</v>
      </c>
    </row>
    <row r="96" spans="1:7" ht="15" customHeight="1" x14ac:dyDescent="0.25">
      <c r="A96" t="s">
        <v>342</v>
      </c>
      <c r="B96" t="s">
        <v>175</v>
      </c>
      <c r="C96">
        <v>70617</v>
      </c>
      <c r="D96">
        <v>103060</v>
      </c>
      <c r="E96">
        <v>1</v>
      </c>
      <c r="F96">
        <v>1</v>
      </c>
      <c r="G96" t="s">
        <v>196</v>
      </c>
    </row>
    <row r="97" spans="1:7" ht="15" customHeight="1" x14ac:dyDescent="0.25">
      <c r="A97" t="s">
        <v>343</v>
      </c>
      <c r="B97" t="s">
        <v>175</v>
      </c>
      <c r="C97">
        <v>71274</v>
      </c>
      <c r="D97">
        <v>103060</v>
      </c>
      <c r="E97">
        <v>1</v>
      </c>
      <c r="F97">
        <v>1</v>
      </c>
      <c r="G97" t="s">
        <v>344</v>
      </c>
    </row>
    <row r="98" spans="1:7" ht="15" customHeight="1" x14ac:dyDescent="0.25">
      <c r="A98" t="s">
        <v>345</v>
      </c>
      <c r="B98" t="s">
        <v>175</v>
      </c>
      <c r="C98">
        <v>70214</v>
      </c>
      <c r="D98">
        <v>101595</v>
      </c>
      <c r="E98">
        <v>1</v>
      </c>
      <c r="F98">
        <v>1</v>
      </c>
      <c r="G98" t="s">
        <v>346</v>
      </c>
    </row>
    <row r="99" spans="1:7" ht="15" customHeight="1" x14ac:dyDescent="0.25">
      <c r="A99" t="s">
        <v>347</v>
      </c>
      <c r="B99" t="s">
        <v>185</v>
      </c>
      <c r="C99" t="s">
        <v>293</v>
      </c>
      <c r="D99" t="s">
        <v>55</v>
      </c>
      <c r="E99" t="s">
        <v>55</v>
      </c>
      <c r="F99" t="s">
        <v>55</v>
      </c>
      <c r="G99" t="s">
        <v>294</v>
      </c>
    </row>
    <row r="100" spans="1:7" ht="15" customHeight="1" x14ac:dyDescent="0.25">
      <c r="A100" t="s">
        <v>348</v>
      </c>
      <c r="B100" t="s">
        <v>185</v>
      </c>
      <c r="C100" t="s">
        <v>327</v>
      </c>
      <c r="D100" t="s">
        <v>55</v>
      </c>
      <c r="E100" t="s">
        <v>55</v>
      </c>
      <c r="F100" t="s">
        <v>55</v>
      </c>
      <c r="G100" t="s">
        <v>328</v>
      </c>
    </row>
    <row r="101" spans="1:7" ht="15" customHeight="1" x14ac:dyDescent="0.25">
      <c r="A101" t="s">
        <v>349</v>
      </c>
      <c r="B101" t="s">
        <v>185</v>
      </c>
      <c r="C101" t="s">
        <v>327</v>
      </c>
      <c r="D101" t="s">
        <v>55</v>
      </c>
      <c r="E101" t="s">
        <v>55</v>
      </c>
      <c r="F101" t="s">
        <v>55</v>
      </c>
      <c r="G101" t="s">
        <v>328</v>
      </c>
    </row>
    <row r="102" spans="1:7" ht="15" customHeight="1" x14ac:dyDescent="0.25">
      <c r="A102" t="s">
        <v>350</v>
      </c>
      <c r="B102" t="s">
        <v>175</v>
      </c>
      <c r="C102">
        <v>71274</v>
      </c>
      <c r="D102">
        <v>101595</v>
      </c>
      <c r="E102">
        <v>1</v>
      </c>
      <c r="F102">
        <v>1</v>
      </c>
      <c r="G102" t="s">
        <v>351</v>
      </c>
    </row>
    <row r="103" spans="1:7" ht="15" customHeight="1" x14ac:dyDescent="0.25">
      <c r="A103" t="s">
        <v>352</v>
      </c>
      <c r="B103" t="s">
        <v>172</v>
      </c>
      <c r="C103">
        <v>71274</v>
      </c>
      <c r="D103">
        <v>103060</v>
      </c>
      <c r="E103">
        <v>1</v>
      </c>
      <c r="F103">
        <v>1</v>
      </c>
      <c r="G103" t="s">
        <v>344</v>
      </c>
    </row>
    <row r="104" spans="1:7" ht="15" customHeight="1" x14ac:dyDescent="0.25">
      <c r="A104" t="s">
        <v>353</v>
      </c>
      <c r="B104" t="s">
        <v>175</v>
      </c>
      <c r="C104">
        <v>71274</v>
      </c>
      <c r="D104">
        <v>103059</v>
      </c>
      <c r="E104">
        <v>1</v>
      </c>
      <c r="F104">
        <v>1</v>
      </c>
      <c r="G104" t="s">
        <v>354</v>
      </c>
    </row>
    <row r="105" spans="1:7" ht="15" customHeight="1" x14ac:dyDescent="0.25">
      <c r="A105" t="s">
        <v>355</v>
      </c>
      <c r="B105" t="s">
        <v>175</v>
      </c>
      <c r="C105">
        <v>71274</v>
      </c>
      <c r="D105">
        <v>103059</v>
      </c>
      <c r="E105">
        <v>1</v>
      </c>
      <c r="F105">
        <v>1</v>
      </c>
      <c r="G105" t="s">
        <v>354</v>
      </c>
    </row>
    <row r="106" spans="1:7" ht="15" customHeight="1" x14ac:dyDescent="0.25">
      <c r="A106" t="s">
        <v>356</v>
      </c>
      <c r="B106" t="s">
        <v>175</v>
      </c>
      <c r="C106">
        <v>71274</v>
      </c>
      <c r="D106">
        <v>103059</v>
      </c>
      <c r="E106">
        <v>1</v>
      </c>
      <c r="F106">
        <v>1</v>
      </c>
      <c r="G106" t="s">
        <v>354</v>
      </c>
    </row>
    <row r="107" spans="1:7" ht="15" customHeight="1" x14ac:dyDescent="0.25">
      <c r="A107" t="s">
        <v>357</v>
      </c>
      <c r="B107" t="s">
        <v>175</v>
      </c>
      <c r="C107">
        <v>71274</v>
      </c>
      <c r="D107">
        <v>103059</v>
      </c>
      <c r="E107">
        <v>3</v>
      </c>
      <c r="F107">
        <v>1</v>
      </c>
      <c r="G107" t="s">
        <v>358</v>
      </c>
    </row>
    <row r="108" spans="1:7" ht="15" customHeight="1" x14ac:dyDescent="0.25">
      <c r="A108" t="s">
        <v>359</v>
      </c>
      <c r="B108" t="s">
        <v>175</v>
      </c>
      <c r="C108">
        <v>71274</v>
      </c>
      <c r="D108">
        <v>103059</v>
      </c>
      <c r="E108">
        <v>2</v>
      </c>
      <c r="F108">
        <v>1</v>
      </c>
      <c r="G108" t="s">
        <v>360</v>
      </c>
    </row>
    <row r="109" spans="1:7" ht="15" customHeight="1" x14ac:dyDescent="0.25">
      <c r="A109" t="s">
        <v>361</v>
      </c>
      <c r="B109" t="s">
        <v>172</v>
      </c>
      <c r="C109">
        <v>71274</v>
      </c>
      <c r="D109">
        <v>103059</v>
      </c>
      <c r="E109">
        <v>1</v>
      </c>
      <c r="F109">
        <v>1</v>
      </c>
      <c r="G109" t="s">
        <v>354</v>
      </c>
    </row>
    <row r="110" spans="1:7" ht="15" customHeight="1" x14ac:dyDescent="0.25">
      <c r="A110" t="s">
        <v>362</v>
      </c>
      <c r="B110" t="s">
        <v>172</v>
      </c>
      <c r="C110">
        <v>71274</v>
      </c>
      <c r="D110">
        <v>103059</v>
      </c>
      <c r="E110">
        <v>3</v>
      </c>
      <c r="F110">
        <v>1</v>
      </c>
      <c r="G110" t="s">
        <v>358</v>
      </c>
    </row>
    <row r="111" spans="1:7" ht="15" customHeight="1" x14ac:dyDescent="0.25">
      <c r="A111" t="s">
        <v>363</v>
      </c>
      <c r="B111" t="s">
        <v>172</v>
      </c>
      <c r="C111">
        <v>71274</v>
      </c>
      <c r="D111">
        <v>103059</v>
      </c>
      <c r="E111">
        <v>2</v>
      </c>
      <c r="F111">
        <v>1</v>
      </c>
      <c r="G111" t="s">
        <v>360</v>
      </c>
    </row>
    <row r="112" spans="1:7" ht="15" customHeight="1" x14ac:dyDescent="0.25">
      <c r="A112" t="s">
        <v>364</v>
      </c>
      <c r="B112" t="s">
        <v>172</v>
      </c>
      <c r="C112">
        <v>71274</v>
      </c>
      <c r="D112">
        <v>103059</v>
      </c>
      <c r="E112">
        <v>1</v>
      </c>
      <c r="F112">
        <v>1</v>
      </c>
      <c r="G112" t="s">
        <v>354</v>
      </c>
    </row>
    <row r="113" spans="1:7" ht="15" customHeight="1" x14ac:dyDescent="0.25">
      <c r="A113" t="s">
        <v>365</v>
      </c>
      <c r="B113" t="s">
        <v>172</v>
      </c>
      <c r="C113">
        <v>71274</v>
      </c>
      <c r="D113">
        <v>103059</v>
      </c>
      <c r="E113">
        <v>1</v>
      </c>
      <c r="F113">
        <v>1</v>
      </c>
      <c r="G113" t="s">
        <v>354</v>
      </c>
    </row>
    <row r="114" spans="1:7" ht="15" customHeight="1" x14ac:dyDescent="0.25">
      <c r="A114" t="s">
        <v>366</v>
      </c>
      <c r="B114" t="s">
        <v>172</v>
      </c>
      <c r="C114">
        <v>71274</v>
      </c>
      <c r="D114">
        <v>103059</v>
      </c>
      <c r="E114">
        <v>1</v>
      </c>
      <c r="F114">
        <v>1</v>
      </c>
      <c r="G114" t="s">
        <v>354</v>
      </c>
    </row>
    <row r="115" spans="1:7" ht="15" customHeight="1" x14ac:dyDescent="0.25">
      <c r="A115" t="s">
        <v>367</v>
      </c>
      <c r="B115" t="s">
        <v>172</v>
      </c>
      <c r="C115" t="s">
        <v>368</v>
      </c>
      <c r="D115" t="s">
        <v>369</v>
      </c>
      <c r="E115" t="s">
        <v>201</v>
      </c>
      <c r="F115" t="s">
        <v>55</v>
      </c>
      <c r="G115" t="s">
        <v>370</v>
      </c>
    </row>
    <row r="116" spans="1:7" ht="15" customHeight="1" x14ac:dyDescent="0.25">
      <c r="A116" t="s">
        <v>371</v>
      </c>
      <c r="B116" t="s">
        <v>172</v>
      </c>
      <c r="C116">
        <v>71274</v>
      </c>
      <c r="D116">
        <v>103059</v>
      </c>
      <c r="E116">
        <v>1</v>
      </c>
      <c r="F116">
        <v>1</v>
      </c>
      <c r="G116" t="s">
        <v>354</v>
      </c>
    </row>
    <row r="117" spans="1:7" ht="15" customHeight="1" x14ac:dyDescent="0.25">
      <c r="A117" t="s">
        <v>372</v>
      </c>
      <c r="B117" t="s">
        <v>172</v>
      </c>
      <c r="C117" t="s">
        <v>368</v>
      </c>
      <c r="D117" t="s">
        <v>369</v>
      </c>
      <c r="E117" t="s">
        <v>201</v>
      </c>
      <c r="F117" t="s">
        <v>55</v>
      </c>
      <c r="G117" t="s">
        <v>370</v>
      </c>
    </row>
    <row r="118" spans="1:7" ht="15" customHeight="1" x14ac:dyDescent="0.25">
      <c r="A118" t="s">
        <v>373</v>
      </c>
      <c r="B118" t="s">
        <v>172</v>
      </c>
      <c r="C118">
        <v>71274</v>
      </c>
      <c r="D118">
        <v>103059</v>
      </c>
      <c r="E118">
        <v>1</v>
      </c>
      <c r="F118">
        <v>1</v>
      </c>
      <c r="G118" t="s">
        <v>354</v>
      </c>
    </row>
    <row r="119" spans="1:7" ht="15" customHeight="1" x14ac:dyDescent="0.25">
      <c r="A119" t="s">
        <v>374</v>
      </c>
      <c r="B119" t="s">
        <v>172</v>
      </c>
      <c r="C119">
        <v>71274</v>
      </c>
      <c r="D119">
        <v>103059</v>
      </c>
      <c r="E119">
        <v>1</v>
      </c>
      <c r="F119">
        <v>1</v>
      </c>
      <c r="G119" t="s">
        <v>354</v>
      </c>
    </row>
    <row r="120" spans="1:7" ht="15" customHeight="1" x14ac:dyDescent="0.25">
      <c r="A120" t="s">
        <v>375</v>
      </c>
      <c r="B120" t="s">
        <v>172</v>
      </c>
      <c r="C120" t="s">
        <v>368</v>
      </c>
      <c r="D120" t="s">
        <v>369</v>
      </c>
      <c r="E120" t="s">
        <v>201</v>
      </c>
      <c r="F120" t="s">
        <v>55</v>
      </c>
      <c r="G120" t="s">
        <v>370</v>
      </c>
    </row>
    <row r="121" spans="1:7" ht="15" customHeight="1" x14ac:dyDescent="0.25">
      <c r="A121" t="s">
        <v>376</v>
      </c>
      <c r="B121" t="s">
        <v>172</v>
      </c>
      <c r="C121">
        <v>71274</v>
      </c>
      <c r="D121">
        <v>103059</v>
      </c>
      <c r="E121">
        <v>1</v>
      </c>
      <c r="F121">
        <v>1</v>
      </c>
      <c r="G121" t="s">
        <v>354</v>
      </c>
    </row>
    <row r="122" spans="1:7" ht="15" customHeight="1" x14ac:dyDescent="0.25">
      <c r="A122" t="s">
        <v>377</v>
      </c>
      <c r="B122" t="s">
        <v>172</v>
      </c>
      <c r="C122">
        <v>71274</v>
      </c>
      <c r="D122">
        <v>103059</v>
      </c>
      <c r="E122">
        <v>1</v>
      </c>
      <c r="F122">
        <v>1</v>
      </c>
      <c r="G122" t="s">
        <v>354</v>
      </c>
    </row>
    <row r="123" spans="1:7" ht="15" customHeight="1" x14ac:dyDescent="0.25">
      <c r="A123" t="s">
        <v>378</v>
      </c>
      <c r="B123" t="s">
        <v>172</v>
      </c>
      <c r="C123" t="s">
        <v>368</v>
      </c>
      <c r="D123" t="s">
        <v>369</v>
      </c>
      <c r="E123" t="s">
        <v>201</v>
      </c>
      <c r="F123" t="s">
        <v>55</v>
      </c>
      <c r="G123" t="s">
        <v>370</v>
      </c>
    </row>
    <row r="124" spans="1:7" ht="15" customHeight="1" x14ac:dyDescent="0.25">
      <c r="A124" t="s">
        <v>379</v>
      </c>
      <c r="B124" t="s">
        <v>172</v>
      </c>
      <c r="C124">
        <v>71274</v>
      </c>
      <c r="D124">
        <v>103059</v>
      </c>
      <c r="E124">
        <v>1</v>
      </c>
      <c r="F124">
        <v>1</v>
      </c>
      <c r="G124" t="s">
        <v>354</v>
      </c>
    </row>
    <row r="125" spans="1:7" ht="15" customHeight="1" x14ac:dyDescent="0.25">
      <c r="A125" t="s">
        <v>380</v>
      </c>
      <c r="B125" t="s">
        <v>172</v>
      </c>
      <c r="C125">
        <v>71274</v>
      </c>
      <c r="D125">
        <v>103059</v>
      </c>
      <c r="E125">
        <v>1</v>
      </c>
      <c r="F125">
        <v>1</v>
      </c>
      <c r="G125" t="s">
        <v>354</v>
      </c>
    </row>
    <row r="126" spans="1:7" ht="15" customHeight="1" x14ac:dyDescent="0.25">
      <c r="A126" t="s">
        <v>381</v>
      </c>
      <c r="B126" t="s">
        <v>172</v>
      </c>
      <c r="C126" t="s">
        <v>368</v>
      </c>
      <c r="D126" t="s">
        <v>369</v>
      </c>
      <c r="E126" t="s">
        <v>201</v>
      </c>
      <c r="F126" t="s">
        <v>55</v>
      </c>
      <c r="G126" t="s">
        <v>370</v>
      </c>
    </row>
    <row r="127" spans="1:7" ht="15" customHeight="1" x14ac:dyDescent="0.25">
      <c r="A127" t="s">
        <v>382</v>
      </c>
      <c r="B127" t="s">
        <v>172</v>
      </c>
      <c r="C127">
        <v>71274</v>
      </c>
      <c r="D127">
        <v>103059</v>
      </c>
      <c r="E127">
        <v>1</v>
      </c>
      <c r="F127">
        <v>1</v>
      </c>
      <c r="G127" t="s">
        <v>354</v>
      </c>
    </row>
    <row r="128" spans="1:7" ht="15" customHeight="1" x14ac:dyDescent="0.25">
      <c r="A128" t="s">
        <v>383</v>
      </c>
      <c r="B128" t="s">
        <v>172</v>
      </c>
      <c r="C128">
        <v>71274</v>
      </c>
      <c r="D128">
        <v>103059</v>
      </c>
      <c r="E128">
        <v>1</v>
      </c>
      <c r="F128">
        <v>1</v>
      </c>
      <c r="G128" t="s">
        <v>354</v>
      </c>
    </row>
    <row r="129" spans="1:7" ht="15" customHeight="1" x14ac:dyDescent="0.25">
      <c r="A129" t="s">
        <v>384</v>
      </c>
      <c r="B129" t="s">
        <v>172</v>
      </c>
      <c r="C129" t="s">
        <v>368</v>
      </c>
      <c r="D129" t="s">
        <v>369</v>
      </c>
      <c r="E129" t="s">
        <v>201</v>
      </c>
      <c r="F129" t="s">
        <v>55</v>
      </c>
      <c r="G129" t="s">
        <v>370</v>
      </c>
    </row>
    <row r="130" spans="1:7" ht="15" customHeight="1" x14ac:dyDescent="0.25">
      <c r="A130" t="s">
        <v>385</v>
      </c>
      <c r="B130" t="s">
        <v>172</v>
      </c>
      <c r="C130">
        <v>71274</v>
      </c>
      <c r="D130">
        <v>103059</v>
      </c>
      <c r="E130">
        <v>1</v>
      </c>
      <c r="F130">
        <v>1</v>
      </c>
      <c r="G130" t="s">
        <v>354</v>
      </c>
    </row>
    <row r="131" spans="1:7" ht="15" customHeight="1" x14ac:dyDescent="0.25">
      <c r="A131" t="s">
        <v>386</v>
      </c>
      <c r="B131" t="s">
        <v>172</v>
      </c>
      <c r="C131" t="s">
        <v>368</v>
      </c>
      <c r="D131" t="s">
        <v>369</v>
      </c>
      <c r="E131" t="s">
        <v>201</v>
      </c>
      <c r="F131" t="s">
        <v>55</v>
      </c>
      <c r="G131" t="s">
        <v>370</v>
      </c>
    </row>
    <row r="132" spans="1:7" ht="15" customHeight="1" x14ac:dyDescent="0.25">
      <c r="A132" t="s">
        <v>387</v>
      </c>
      <c r="B132" t="s">
        <v>172</v>
      </c>
      <c r="C132">
        <v>71274</v>
      </c>
      <c r="D132">
        <v>103059</v>
      </c>
      <c r="E132">
        <v>1</v>
      </c>
      <c r="F132">
        <v>1</v>
      </c>
      <c r="G132" t="s">
        <v>354</v>
      </c>
    </row>
    <row r="133" spans="1:7" ht="15" customHeight="1" x14ac:dyDescent="0.25">
      <c r="A133" t="s">
        <v>388</v>
      </c>
      <c r="B133" t="s">
        <v>172</v>
      </c>
      <c r="C133" t="s">
        <v>368</v>
      </c>
      <c r="D133" t="s">
        <v>369</v>
      </c>
      <c r="E133" t="s">
        <v>201</v>
      </c>
      <c r="F133" t="s">
        <v>55</v>
      </c>
      <c r="G133" t="s">
        <v>370</v>
      </c>
    </row>
    <row r="134" spans="1:7" ht="15" customHeight="1" x14ac:dyDescent="0.25">
      <c r="A134" t="s">
        <v>389</v>
      </c>
      <c r="B134" t="s">
        <v>172</v>
      </c>
      <c r="C134">
        <v>71274</v>
      </c>
      <c r="D134">
        <v>103059</v>
      </c>
      <c r="E134">
        <v>1</v>
      </c>
      <c r="F134">
        <v>1</v>
      </c>
      <c r="G134" t="s">
        <v>354</v>
      </c>
    </row>
    <row r="135" spans="1:7" ht="15" customHeight="1" x14ac:dyDescent="0.25">
      <c r="A135" t="s">
        <v>390</v>
      </c>
      <c r="B135" t="s">
        <v>172</v>
      </c>
      <c r="C135">
        <v>71274</v>
      </c>
      <c r="D135">
        <v>103059</v>
      </c>
      <c r="E135">
        <v>1</v>
      </c>
      <c r="F135">
        <v>1</v>
      </c>
      <c r="G135" t="s">
        <v>354</v>
      </c>
    </row>
    <row r="136" spans="1:7" ht="15" customHeight="1" x14ac:dyDescent="0.25">
      <c r="A136" t="s">
        <v>391</v>
      </c>
      <c r="B136" t="s">
        <v>172</v>
      </c>
      <c r="C136" t="s">
        <v>368</v>
      </c>
      <c r="D136" t="s">
        <v>369</v>
      </c>
      <c r="E136" t="s">
        <v>201</v>
      </c>
      <c r="F136" t="s">
        <v>55</v>
      </c>
      <c r="G136" t="s">
        <v>370</v>
      </c>
    </row>
    <row r="137" spans="1:7" ht="15" customHeight="1" x14ac:dyDescent="0.25">
      <c r="A137" t="s">
        <v>392</v>
      </c>
      <c r="B137" t="s">
        <v>172</v>
      </c>
      <c r="C137">
        <v>71274</v>
      </c>
      <c r="D137">
        <v>103059</v>
      </c>
      <c r="E137">
        <v>1</v>
      </c>
      <c r="F137">
        <v>1</v>
      </c>
      <c r="G137" t="s">
        <v>354</v>
      </c>
    </row>
    <row r="138" spans="1:7" ht="15" customHeight="1" x14ac:dyDescent="0.25">
      <c r="A138" t="s">
        <v>393</v>
      </c>
      <c r="B138" t="s">
        <v>172</v>
      </c>
      <c r="C138" t="s">
        <v>368</v>
      </c>
      <c r="D138" t="s">
        <v>369</v>
      </c>
      <c r="E138" t="s">
        <v>201</v>
      </c>
      <c r="F138" t="s">
        <v>55</v>
      </c>
      <c r="G138" t="s">
        <v>370</v>
      </c>
    </row>
    <row r="139" spans="1:7" ht="15" customHeight="1" x14ac:dyDescent="0.25">
      <c r="A139" t="s">
        <v>394</v>
      </c>
      <c r="B139" t="s">
        <v>185</v>
      </c>
      <c r="C139" t="s">
        <v>293</v>
      </c>
      <c r="D139" t="s">
        <v>55</v>
      </c>
      <c r="E139" t="s">
        <v>55</v>
      </c>
      <c r="F139" t="s">
        <v>55</v>
      </c>
      <c r="G139" t="s">
        <v>294</v>
      </c>
    </row>
    <row r="140" spans="1:7" ht="15" customHeight="1" x14ac:dyDescent="0.25">
      <c r="A140" t="s">
        <v>395</v>
      </c>
      <c r="B140" t="s">
        <v>172</v>
      </c>
      <c r="C140">
        <v>71274</v>
      </c>
      <c r="D140">
        <v>103059</v>
      </c>
      <c r="E140">
        <v>1</v>
      </c>
      <c r="F140">
        <v>1</v>
      </c>
      <c r="G140" t="s">
        <v>354</v>
      </c>
    </row>
    <row r="141" spans="1:7" ht="15" customHeight="1" x14ac:dyDescent="0.25">
      <c r="A141" t="s">
        <v>396</v>
      </c>
      <c r="B141" t="s">
        <v>172</v>
      </c>
      <c r="C141">
        <v>71274</v>
      </c>
      <c r="D141">
        <v>103059</v>
      </c>
      <c r="E141">
        <v>1</v>
      </c>
      <c r="F141">
        <v>1</v>
      </c>
      <c r="G141" t="s">
        <v>354</v>
      </c>
    </row>
    <row r="142" spans="1:7" ht="15" customHeight="1" x14ac:dyDescent="0.25">
      <c r="A142" t="s">
        <v>397</v>
      </c>
      <c r="B142" t="s">
        <v>172</v>
      </c>
      <c r="C142" t="s">
        <v>368</v>
      </c>
      <c r="D142" t="s">
        <v>369</v>
      </c>
      <c r="E142" t="s">
        <v>201</v>
      </c>
      <c r="F142" t="s">
        <v>55</v>
      </c>
      <c r="G142" t="s">
        <v>370</v>
      </c>
    </row>
    <row r="143" spans="1:7" ht="15" customHeight="1" x14ac:dyDescent="0.25">
      <c r="A143" t="s">
        <v>398</v>
      </c>
      <c r="B143" t="s">
        <v>185</v>
      </c>
      <c r="C143" t="s">
        <v>399</v>
      </c>
      <c r="D143" t="s">
        <v>55</v>
      </c>
      <c r="E143" t="s">
        <v>55</v>
      </c>
      <c r="F143" t="s">
        <v>55</v>
      </c>
      <c r="G143" t="s">
        <v>400</v>
      </c>
    </row>
    <row r="144" spans="1:7" ht="15" customHeight="1" x14ac:dyDescent="0.25">
      <c r="A144" t="s">
        <v>401</v>
      </c>
      <c r="B144" t="s">
        <v>172</v>
      </c>
      <c r="C144">
        <v>71274</v>
      </c>
      <c r="D144">
        <v>103059</v>
      </c>
      <c r="E144">
        <v>1</v>
      </c>
      <c r="F144">
        <v>1</v>
      </c>
      <c r="G144" t="s">
        <v>354</v>
      </c>
    </row>
    <row r="145" spans="1:7" ht="15" customHeight="1" x14ac:dyDescent="0.25">
      <c r="A145" t="s">
        <v>402</v>
      </c>
      <c r="B145" t="s">
        <v>172</v>
      </c>
      <c r="C145" t="s">
        <v>368</v>
      </c>
      <c r="D145" t="s">
        <v>369</v>
      </c>
      <c r="E145" t="s">
        <v>201</v>
      </c>
      <c r="F145" t="s">
        <v>55</v>
      </c>
      <c r="G145" t="s">
        <v>370</v>
      </c>
    </row>
    <row r="146" spans="1:7" ht="15" customHeight="1" x14ac:dyDescent="0.25">
      <c r="A146" t="s">
        <v>403</v>
      </c>
      <c r="B146" t="s">
        <v>175</v>
      </c>
      <c r="C146" t="s">
        <v>399</v>
      </c>
      <c r="D146" t="s">
        <v>404</v>
      </c>
      <c r="E146" t="s">
        <v>55</v>
      </c>
      <c r="F146" t="s">
        <v>201</v>
      </c>
      <c r="G146" t="s">
        <v>405</v>
      </c>
    </row>
    <row r="147" spans="1:7" ht="15" customHeight="1" x14ac:dyDescent="0.25">
      <c r="A147" t="s">
        <v>406</v>
      </c>
      <c r="B147" t="s">
        <v>175</v>
      </c>
      <c r="C147" t="s">
        <v>399</v>
      </c>
      <c r="D147" t="s">
        <v>407</v>
      </c>
      <c r="E147" t="s">
        <v>55</v>
      </c>
      <c r="F147" t="s">
        <v>201</v>
      </c>
      <c r="G147" t="s">
        <v>408</v>
      </c>
    </row>
    <row r="148" spans="1:7" ht="15" customHeight="1" x14ac:dyDescent="0.25">
      <c r="A148" t="s">
        <v>409</v>
      </c>
      <c r="B148" t="s">
        <v>175</v>
      </c>
      <c r="C148" t="s">
        <v>399</v>
      </c>
      <c r="D148" t="s">
        <v>410</v>
      </c>
      <c r="E148" t="s">
        <v>55</v>
      </c>
      <c r="F148" t="s">
        <v>201</v>
      </c>
      <c r="G148" t="s">
        <v>411</v>
      </c>
    </row>
    <row r="149" spans="1:7" ht="15" customHeight="1" x14ac:dyDescent="0.25">
      <c r="A149" t="s">
        <v>412</v>
      </c>
      <c r="B149" t="s">
        <v>175</v>
      </c>
      <c r="C149" t="s">
        <v>399</v>
      </c>
      <c r="D149" t="s">
        <v>413</v>
      </c>
      <c r="E149" t="s">
        <v>55</v>
      </c>
      <c r="F149" t="s">
        <v>201</v>
      </c>
      <c r="G149" t="s">
        <v>414</v>
      </c>
    </row>
    <row r="150" spans="1:7" ht="15" customHeight="1" x14ac:dyDescent="0.25">
      <c r="A150" t="s">
        <v>415</v>
      </c>
      <c r="B150" t="s">
        <v>172</v>
      </c>
      <c r="C150">
        <v>71274</v>
      </c>
      <c r="D150">
        <v>103059</v>
      </c>
      <c r="E150">
        <v>1</v>
      </c>
      <c r="F150">
        <v>1</v>
      </c>
      <c r="G150" t="s">
        <v>354</v>
      </c>
    </row>
    <row r="151" spans="1:7" ht="15" customHeight="1" x14ac:dyDescent="0.25">
      <c r="A151" t="s">
        <v>416</v>
      </c>
      <c r="B151" t="s">
        <v>172</v>
      </c>
      <c r="C151" t="s">
        <v>368</v>
      </c>
      <c r="D151" t="s">
        <v>369</v>
      </c>
      <c r="E151" t="s">
        <v>201</v>
      </c>
      <c r="F151" t="s">
        <v>55</v>
      </c>
      <c r="G151" t="s">
        <v>370</v>
      </c>
    </row>
    <row r="152" spans="1:7" ht="15" customHeight="1" x14ac:dyDescent="0.25">
      <c r="A152" t="s">
        <v>417</v>
      </c>
      <c r="B152" t="s">
        <v>175</v>
      </c>
      <c r="C152" t="s">
        <v>399</v>
      </c>
      <c r="D152" t="s">
        <v>418</v>
      </c>
      <c r="E152" t="s">
        <v>55</v>
      </c>
      <c r="F152" t="s">
        <v>201</v>
      </c>
      <c r="G152" t="s">
        <v>419</v>
      </c>
    </row>
    <row r="153" spans="1:7" ht="15" customHeight="1" x14ac:dyDescent="0.25">
      <c r="A153" t="s">
        <v>420</v>
      </c>
      <c r="B153" t="s">
        <v>421</v>
      </c>
      <c r="C153" t="s">
        <v>399</v>
      </c>
      <c r="D153" t="s">
        <v>55</v>
      </c>
      <c r="E153" t="s">
        <v>55</v>
      </c>
      <c r="F153" t="s">
        <v>55</v>
      </c>
      <c r="G153" t="s">
        <v>400</v>
      </c>
    </row>
    <row r="154" spans="1:7" ht="15" customHeight="1" x14ac:dyDescent="0.25">
      <c r="A154" t="s">
        <v>422</v>
      </c>
      <c r="B154" t="s">
        <v>172</v>
      </c>
      <c r="C154">
        <v>71274</v>
      </c>
      <c r="D154">
        <v>103059</v>
      </c>
      <c r="E154">
        <v>1</v>
      </c>
      <c r="F154">
        <v>1</v>
      </c>
      <c r="G154" t="s">
        <v>354</v>
      </c>
    </row>
    <row r="155" spans="1:7" ht="15" customHeight="1" x14ac:dyDescent="0.25">
      <c r="A155" t="s">
        <v>423</v>
      </c>
      <c r="B155" t="s">
        <v>172</v>
      </c>
      <c r="C155" t="s">
        <v>368</v>
      </c>
      <c r="D155" t="s">
        <v>369</v>
      </c>
      <c r="E155" t="s">
        <v>201</v>
      </c>
      <c r="F155" t="s">
        <v>55</v>
      </c>
      <c r="G155" t="s">
        <v>370</v>
      </c>
    </row>
    <row r="156" spans="1:7" ht="15" customHeight="1" x14ac:dyDescent="0.25">
      <c r="A156" t="s">
        <v>424</v>
      </c>
      <c r="B156" t="s">
        <v>421</v>
      </c>
      <c r="C156" t="s">
        <v>399</v>
      </c>
      <c r="D156" t="s">
        <v>55</v>
      </c>
      <c r="E156" t="s">
        <v>55</v>
      </c>
      <c r="F156" t="s">
        <v>55</v>
      </c>
      <c r="G156" t="s">
        <v>400</v>
      </c>
    </row>
    <row r="157" spans="1:7" ht="15" customHeight="1" x14ac:dyDescent="0.25">
      <c r="A157" t="s">
        <v>425</v>
      </c>
      <c r="B157" t="s">
        <v>172</v>
      </c>
      <c r="C157">
        <v>71274</v>
      </c>
      <c r="D157">
        <v>103059</v>
      </c>
      <c r="E157">
        <v>1</v>
      </c>
      <c r="F157">
        <v>1</v>
      </c>
      <c r="G157" t="s">
        <v>354</v>
      </c>
    </row>
    <row r="158" spans="1:7" ht="15" customHeight="1" x14ac:dyDescent="0.25">
      <c r="A158" t="s">
        <v>426</v>
      </c>
      <c r="B158" t="s">
        <v>172</v>
      </c>
      <c r="C158" t="s">
        <v>368</v>
      </c>
      <c r="D158" t="s">
        <v>369</v>
      </c>
      <c r="E158" t="s">
        <v>201</v>
      </c>
      <c r="F158" t="s">
        <v>55</v>
      </c>
      <c r="G158" t="s">
        <v>370</v>
      </c>
    </row>
    <row r="159" spans="1:7" ht="15" customHeight="1" x14ac:dyDescent="0.25">
      <c r="A159" t="s">
        <v>427</v>
      </c>
      <c r="B159" t="s">
        <v>172</v>
      </c>
      <c r="C159">
        <v>71274</v>
      </c>
      <c r="D159">
        <v>103059</v>
      </c>
      <c r="E159">
        <v>1</v>
      </c>
      <c r="F159">
        <v>1</v>
      </c>
      <c r="G159" t="s">
        <v>354</v>
      </c>
    </row>
    <row r="160" spans="1:7" ht="15" customHeight="1" x14ac:dyDescent="0.25">
      <c r="A160" t="s">
        <v>428</v>
      </c>
      <c r="B160" t="s">
        <v>172</v>
      </c>
      <c r="C160">
        <v>71274</v>
      </c>
      <c r="D160">
        <v>103059</v>
      </c>
      <c r="E160">
        <v>1</v>
      </c>
      <c r="F160">
        <v>1</v>
      </c>
      <c r="G160" t="s">
        <v>354</v>
      </c>
    </row>
    <row r="161" spans="1:7" ht="15" customHeight="1" x14ac:dyDescent="0.25">
      <c r="A161" t="s">
        <v>429</v>
      </c>
      <c r="B161" t="s">
        <v>172</v>
      </c>
      <c r="C161" t="s">
        <v>368</v>
      </c>
      <c r="D161" t="s">
        <v>369</v>
      </c>
      <c r="E161" t="s">
        <v>201</v>
      </c>
      <c r="F161" t="s">
        <v>55</v>
      </c>
      <c r="G161" t="s">
        <v>370</v>
      </c>
    </row>
    <row r="162" spans="1:7" ht="15" customHeight="1" x14ac:dyDescent="0.25">
      <c r="A162" t="s">
        <v>430</v>
      </c>
      <c r="B162" t="s">
        <v>172</v>
      </c>
      <c r="C162">
        <v>71274</v>
      </c>
      <c r="D162">
        <v>103059</v>
      </c>
      <c r="E162">
        <v>1</v>
      </c>
      <c r="F162">
        <v>1</v>
      </c>
      <c r="G162" t="s">
        <v>354</v>
      </c>
    </row>
    <row r="163" spans="1:7" ht="15" customHeight="1" x14ac:dyDescent="0.25">
      <c r="A163" t="s">
        <v>431</v>
      </c>
      <c r="B163" t="s">
        <v>172</v>
      </c>
      <c r="C163">
        <v>71274</v>
      </c>
      <c r="D163">
        <v>103059</v>
      </c>
      <c r="E163">
        <v>1</v>
      </c>
      <c r="F163">
        <v>1</v>
      </c>
      <c r="G163" t="s">
        <v>354</v>
      </c>
    </row>
    <row r="164" spans="1:7" ht="15" customHeight="1" x14ac:dyDescent="0.25">
      <c r="A164" t="s">
        <v>432</v>
      </c>
      <c r="B164" t="s">
        <v>172</v>
      </c>
      <c r="C164" t="s">
        <v>368</v>
      </c>
      <c r="D164" t="s">
        <v>369</v>
      </c>
      <c r="E164" t="s">
        <v>201</v>
      </c>
      <c r="F164" t="s">
        <v>55</v>
      </c>
      <c r="G164" t="s">
        <v>370</v>
      </c>
    </row>
    <row r="165" spans="1:7" ht="15" customHeight="1" x14ac:dyDescent="0.25">
      <c r="A165" t="s">
        <v>433</v>
      </c>
      <c r="B165" t="s">
        <v>172</v>
      </c>
      <c r="C165">
        <v>71274</v>
      </c>
      <c r="D165">
        <v>103059</v>
      </c>
      <c r="E165">
        <v>1</v>
      </c>
      <c r="F165">
        <v>1</v>
      </c>
      <c r="G165" t="s">
        <v>354</v>
      </c>
    </row>
    <row r="166" spans="1:7" ht="15" customHeight="1" x14ac:dyDescent="0.25">
      <c r="A166" t="s">
        <v>434</v>
      </c>
      <c r="B166" t="s">
        <v>172</v>
      </c>
      <c r="C166" t="s">
        <v>368</v>
      </c>
      <c r="D166" t="s">
        <v>369</v>
      </c>
      <c r="E166" t="s">
        <v>201</v>
      </c>
      <c r="F166" t="s">
        <v>55</v>
      </c>
      <c r="G166" t="s">
        <v>370</v>
      </c>
    </row>
    <row r="167" spans="1:7" ht="15" customHeight="1" x14ac:dyDescent="0.25">
      <c r="A167" t="s">
        <v>435</v>
      </c>
      <c r="B167" t="s">
        <v>172</v>
      </c>
      <c r="C167">
        <v>71274</v>
      </c>
      <c r="D167">
        <v>103059</v>
      </c>
      <c r="E167">
        <v>1</v>
      </c>
      <c r="F167">
        <v>1</v>
      </c>
      <c r="G167" t="s">
        <v>354</v>
      </c>
    </row>
    <row r="168" spans="1:7" ht="15" customHeight="1" x14ac:dyDescent="0.25">
      <c r="A168" t="s">
        <v>436</v>
      </c>
      <c r="B168" t="s">
        <v>172</v>
      </c>
      <c r="C168" t="s">
        <v>368</v>
      </c>
      <c r="D168" t="s">
        <v>369</v>
      </c>
      <c r="E168" t="s">
        <v>201</v>
      </c>
      <c r="F168" t="s">
        <v>55</v>
      </c>
      <c r="G168" t="s">
        <v>370</v>
      </c>
    </row>
    <row r="169" spans="1:7" ht="15" customHeight="1" x14ac:dyDescent="0.25">
      <c r="A169" t="s">
        <v>437</v>
      </c>
      <c r="B169" t="s">
        <v>175</v>
      </c>
      <c r="C169">
        <v>71274</v>
      </c>
      <c r="D169">
        <v>103059</v>
      </c>
      <c r="E169">
        <v>1</v>
      </c>
      <c r="F169">
        <v>1</v>
      </c>
      <c r="G169" t="s">
        <v>354</v>
      </c>
    </row>
    <row r="170" spans="1:7" ht="15" customHeight="1" x14ac:dyDescent="0.25">
      <c r="A170" t="s">
        <v>438</v>
      </c>
      <c r="B170" t="s">
        <v>185</v>
      </c>
      <c r="C170" t="s">
        <v>208</v>
      </c>
      <c r="D170" t="s">
        <v>55</v>
      </c>
      <c r="E170" t="s">
        <v>55</v>
      </c>
      <c r="F170" t="s">
        <v>55</v>
      </c>
      <c r="G170" t="s">
        <v>209</v>
      </c>
    </row>
    <row r="171" spans="1:7" ht="15" customHeight="1" x14ac:dyDescent="0.25">
      <c r="A171" t="s">
        <v>439</v>
      </c>
      <c r="B171" t="s">
        <v>172</v>
      </c>
      <c r="C171">
        <v>71274</v>
      </c>
      <c r="D171">
        <v>103059</v>
      </c>
      <c r="E171">
        <v>1</v>
      </c>
      <c r="F171">
        <v>1</v>
      </c>
      <c r="G171" t="s">
        <v>354</v>
      </c>
    </row>
    <row r="172" spans="1:7" ht="15" customHeight="1" x14ac:dyDescent="0.25">
      <c r="A172" t="s">
        <v>440</v>
      </c>
      <c r="B172" t="s">
        <v>172</v>
      </c>
      <c r="C172">
        <v>71274</v>
      </c>
      <c r="D172">
        <v>103059</v>
      </c>
      <c r="E172">
        <v>1</v>
      </c>
      <c r="F172">
        <v>1</v>
      </c>
      <c r="G172" t="s">
        <v>354</v>
      </c>
    </row>
    <row r="173" spans="1:7" ht="15" customHeight="1" x14ac:dyDescent="0.25">
      <c r="A173" t="s">
        <v>441</v>
      </c>
      <c r="B173" t="s">
        <v>172</v>
      </c>
      <c r="C173">
        <v>71274</v>
      </c>
      <c r="D173">
        <v>103059</v>
      </c>
      <c r="E173">
        <v>1</v>
      </c>
      <c r="F173">
        <v>1</v>
      </c>
      <c r="G173" t="s">
        <v>354</v>
      </c>
    </row>
    <row r="174" spans="1:7" ht="15" customHeight="1" x14ac:dyDescent="0.25">
      <c r="A174" t="s">
        <v>442</v>
      </c>
      <c r="B174" t="s">
        <v>172</v>
      </c>
      <c r="C174">
        <v>71274</v>
      </c>
      <c r="D174">
        <v>103059</v>
      </c>
      <c r="E174">
        <v>1</v>
      </c>
      <c r="F174">
        <v>1</v>
      </c>
      <c r="G174" t="s">
        <v>354</v>
      </c>
    </row>
    <row r="175" spans="1:7" ht="15" customHeight="1" x14ac:dyDescent="0.25">
      <c r="A175" t="s">
        <v>443</v>
      </c>
      <c r="B175" t="s">
        <v>172</v>
      </c>
      <c r="C175">
        <v>71274</v>
      </c>
      <c r="D175">
        <v>103059</v>
      </c>
      <c r="E175">
        <v>1</v>
      </c>
      <c r="F175">
        <v>1</v>
      </c>
      <c r="G175" t="s">
        <v>354</v>
      </c>
    </row>
    <row r="176" spans="1:7" ht="15" customHeight="1" x14ac:dyDescent="0.25">
      <c r="A176" t="s">
        <v>444</v>
      </c>
      <c r="B176" t="s">
        <v>172</v>
      </c>
      <c r="C176" t="s">
        <v>368</v>
      </c>
      <c r="D176" t="s">
        <v>369</v>
      </c>
      <c r="E176" t="s">
        <v>201</v>
      </c>
      <c r="F176" t="s">
        <v>55</v>
      </c>
      <c r="G176" t="s">
        <v>370</v>
      </c>
    </row>
    <row r="177" spans="1:7" ht="15" customHeight="1" x14ac:dyDescent="0.25">
      <c r="A177" t="s">
        <v>445</v>
      </c>
      <c r="B177" t="s">
        <v>421</v>
      </c>
      <c r="C177" t="s">
        <v>368</v>
      </c>
      <c r="D177" t="s">
        <v>55</v>
      </c>
      <c r="E177" t="s">
        <v>55</v>
      </c>
      <c r="F177" t="s">
        <v>55</v>
      </c>
      <c r="G177" t="s">
        <v>446</v>
      </c>
    </row>
    <row r="178" spans="1:7" ht="15" customHeight="1" x14ac:dyDescent="0.25">
      <c r="A178" t="s">
        <v>447</v>
      </c>
      <c r="B178" t="s">
        <v>172</v>
      </c>
      <c r="C178">
        <v>71274</v>
      </c>
      <c r="D178">
        <v>103059</v>
      </c>
      <c r="E178">
        <v>1</v>
      </c>
      <c r="F178">
        <v>1</v>
      </c>
      <c r="G178" t="s">
        <v>354</v>
      </c>
    </row>
    <row r="179" spans="1:7" ht="15" customHeight="1" x14ac:dyDescent="0.25">
      <c r="A179" t="s">
        <v>448</v>
      </c>
      <c r="B179" t="s">
        <v>172</v>
      </c>
      <c r="C179">
        <v>71274</v>
      </c>
      <c r="D179">
        <v>103059</v>
      </c>
      <c r="E179">
        <v>1</v>
      </c>
      <c r="F179">
        <v>1</v>
      </c>
      <c r="G179" t="s">
        <v>354</v>
      </c>
    </row>
    <row r="180" spans="1:7" ht="15" customHeight="1" x14ac:dyDescent="0.25">
      <c r="A180" t="s">
        <v>449</v>
      </c>
      <c r="B180" t="s">
        <v>172</v>
      </c>
      <c r="C180" t="s">
        <v>368</v>
      </c>
      <c r="D180" t="s">
        <v>369</v>
      </c>
      <c r="E180" t="s">
        <v>201</v>
      </c>
      <c r="F180" t="s">
        <v>55</v>
      </c>
      <c r="G180" t="s">
        <v>370</v>
      </c>
    </row>
    <row r="181" spans="1:7" ht="15" customHeight="1" x14ac:dyDescent="0.25">
      <c r="A181" t="s">
        <v>450</v>
      </c>
      <c r="B181" t="s">
        <v>172</v>
      </c>
      <c r="C181">
        <v>71274</v>
      </c>
      <c r="D181">
        <v>103059</v>
      </c>
      <c r="E181">
        <v>1</v>
      </c>
      <c r="F181">
        <v>1</v>
      </c>
      <c r="G181" t="s">
        <v>354</v>
      </c>
    </row>
    <row r="182" spans="1:7" ht="15" customHeight="1" x14ac:dyDescent="0.25">
      <c r="A182" t="s">
        <v>451</v>
      </c>
      <c r="B182" t="s">
        <v>172</v>
      </c>
      <c r="C182">
        <v>71274</v>
      </c>
      <c r="D182">
        <v>103059</v>
      </c>
      <c r="E182">
        <v>1</v>
      </c>
      <c r="F182">
        <v>1</v>
      </c>
      <c r="G182" t="s">
        <v>354</v>
      </c>
    </row>
    <row r="183" spans="1:7" ht="15" customHeight="1" x14ac:dyDescent="0.25">
      <c r="A183" t="s">
        <v>452</v>
      </c>
      <c r="B183" t="s">
        <v>172</v>
      </c>
      <c r="C183">
        <v>71274</v>
      </c>
      <c r="D183">
        <v>103059</v>
      </c>
      <c r="E183">
        <v>1</v>
      </c>
      <c r="F183">
        <v>1</v>
      </c>
      <c r="G183" t="s">
        <v>354</v>
      </c>
    </row>
    <row r="184" spans="1:7" ht="15" customHeight="1" x14ac:dyDescent="0.25">
      <c r="A184" t="s">
        <v>453</v>
      </c>
      <c r="B184" t="s">
        <v>172</v>
      </c>
      <c r="C184" t="s">
        <v>368</v>
      </c>
      <c r="D184" t="s">
        <v>369</v>
      </c>
      <c r="E184" t="s">
        <v>201</v>
      </c>
      <c r="F184" t="s">
        <v>55</v>
      </c>
      <c r="G184" t="s">
        <v>370</v>
      </c>
    </row>
    <row r="185" spans="1:7" ht="15" customHeight="1" x14ac:dyDescent="0.25">
      <c r="A185" t="s">
        <v>454</v>
      </c>
      <c r="B185" t="s">
        <v>172</v>
      </c>
      <c r="C185">
        <v>71274</v>
      </c>
      <c r="D185">
        <v>103059</v>
      </c>
      <c r="E185">
        <v>1</v>
      </c>
      <c r="F185">
        <v>1</v>
      </c>
      <c r="G185" t="s">
        <v>354</v>
      </c>
    </row>
    <row r="186" spans="1:7" ht="15" customHeight="1" x14ac:dyDescent="0.25">
      <c r="A186" t="s">
        <v>455</v>
      </c>
      <c r="B186" t="s">
        <v>172</v>
      </c>
      <c r="C186">
        <v>71274</v>
      </c>
      <c r="D186">
        <v>103059</v>
      </c>
      <c r="E186">
        <v>1</v>
      </c>
      <c r="F186">
        <v>1</v>
      </c>
      <c r="G186" t="s">
        <v>354</v>
      </c>
    </row>
    <row r="187" spans="1:7" ht="15" customHeight="1" x14ac:dyDescent="0.25">
      <c r="A187" t="s">
        <v>456</v>
      </c>
      <c r="B187" t="s">
        <v>172</v>
      </c>
      <c r="C187" t="s">
        <v>368</v>
      </c>
      <c r="D187" t="s">
        <v>369</v>
      </c>
      <c r="E187" t="s">
        <v>201</v>
      </c>
      <c r="F187" t="s">
        <v>55</v>
      </c>
      <c r="G187" t="s">
        <v>370</v>
      </c>
    </row>
    <row r="188" spans="1:7" ht="15" customHeight="1" x14ac:dyDescent="0.25">
      <c r="A188" t="s">
        <v>457</v>
      </c>
      <c r="B188" t="s">
        <v>172</v>
      </c>
      <c r="C188">
        <v>71274</v>
      </c>
      <c r="D188">
        <v>103059</v>
      </c>
      <c r="E188">
        <v>1</v>
      </c>
      <c r="F188">
        <v>1</v>
      </c>
      <c r="G188" t="s">
        <v>354</v>
      </c>
    </row>
    <row r="189" spans="1:7" ht="15" customHeight="1" x14ac:dyDescent="0.25">
      <c r="A189" t="s">
        <v>458</v>
      </c>
      <c r="B189" t="s">
        <v>172</v>
      </c>
      <c r="C189" t="s">
        <v>368</v>
      </c>
      <c r="D189" t="s">
        <v>369</v>
      </c>
      <c r="E189" t="s">
        <v>201</v>
      </c>
      <c r="F189" t="s">
        <v>55</v>
      </c>
      <c r="G189" t="s">
        <v>370</v>
      </c>
    </row>
    <row r="190" spans="1:7" ht="15" customHeight="1" x14ac:dyDescent="0.25">
      <c r="A190" t="s">
        <v>459</v>
      </c>
      <c r="B190" t="s">
        <v>172</v>
      </c>
      <c r="C190">
        <v>71274</v>
      </c>
      <c r="D190">
        <v>103059</v>
      </c>
      <c r="E190">
        <v>1</v>
      </c>
      <c r="F190">
        <v>1</v>
      </c>
      <c r="G190" t="s">
        <v>354</v>
      </c>
    </row>
    <row r="191" spans="1:7" ht="15" customHeight="1" x14ac:dyDescent="0.25">
      <c r="A191" t="s">
        <v>460</v>
      </c>
      <c r="B191" t="s">
        <v>172</v>
      </c>
      <c r="C191" t="s">
        <v>368</v>
      </c>
      <c r="D191" t="s">
        <v>369</v>
      </c>
      <c r="E191" t="s">
        <v>201</v>
      </c>
      <c r="F191" t="s">
        <v>55</v>
      </c>
      <c r="G191" t="s">
        <v>370</v>
      </c>
    </row>
    <row r="192" spans="1:7" ht="15" customHeight="1" x14ac:dyDescent="0.25">
      <c r="A192" t="s">
        <v>461</v>
      </c>
      <c r="B192" t="s">
        <v>172</v>
      </c>
      <c r="C192">
        <v>71274</v>
      </c>
      <c r="D192">
        <v>103059</v>
      </c>
      <c r="E192">
        <v>1</v>
      </c>
      <c r="F192">
        <v>1</v>
      </c>
      <c r="G192" t="s">
        <v>354</v>
      </c>
    </row>
    <row r="193" spans="1:7" ht="15" customHeight="1" x14ac:dyDescent="0.25">
      <c r="A193" t="s">
        <v>462</v>
      </c>
      <c r="B193" t="s">
        <v>421</v>
      </c>
      <c r="C193" t="s">
        <v>399</v>
      </c>
      <c r="D193" t="s">
        <v>55</v>
      </c>
      <c r="E193" t="s">
        <v>55</v>
      </c>
      <c r="F193" t="s">
        <v>55</v>
      </c>
      <c r="G193" t="s">
        <v>400</v>
      </c>
    </row>
    <row r="194" spans="1:7" ht="15" customHeight="1" x14ac:dyDescent="0.25">
      <c r="A194" t="s">
        <v>463</v>
      </c>
      <c r="B194" t="s">
        <v>421</v>
      </c>
      <c r="C194" t="s">
        <v>399</v>
      </c>
      <c r="D194" t="s">
        <v>55</v>
      </c>
      <c r="E194" t="s">
        <v>55</v>
      </c>
      <c r="F194" t="s">
        <v>55</v>
      </c>
      <c r="G194" t="s">
        <v>400</v>
      </c>
    </row>
    <row r="195" spans="1:7" ht="15" customHeight="1" x14ac:dyDescent="0.25">
      <c r="A195" t="s">
        <v>464</v>
      </c>
      <c r="B195" t="s">
        <v>172</v>
      </c>
      <c r="C195">
        <v>71274</v>
      </c>
      <c r="D195">
        <v>103059</v>
      </c>
      <c r="E195">
        <v>1</v>
      </c>
      <c r="F195">
        <v>1</v>
      </c>
      <c r="G195" t="s">
        <v>354</v>
      </c>
    </row>
    <row r="196" spans="1:7" ht="15" customHeight="1" x14ac:dyDescent="0.25">
      <c r="A196" t="s">
        <v>465</v>
      </c>
      <c r="B196" t="s">
        <v>172</v>
      </c>
      <c r="C196" t="s">
        <v>368</v>
      </c>
      <c r="D196" t="s">
        <v>369</v>
      </c>
      <c r="E196" t="s">
        <v>201</v>
      </c>
      <c r="F196" t="s">
        <v>55</v>
      </c>
      <c r="G196" t="s">
        <v>370</v>
      </c>
    </row>
    <row r="197" spans="1:7" ht="15" customHeight="1" x14ac:dyDescent="0.25">
      <c r="A197" t="s">
        <v>466</v>
      </c>
      <c r="B197" t="s">
        <v>172</v>
      </c>
      <c r="C197">
        <v>71274</v>
      </c>
      <c r="D197">
        <v>103059</v>
      </c>
      <c r="E197">
        <v>1</v>
      </c>
      <c r="F197">
        <v>1</v>
      </c>
      <c r="G197" t="s">
        <v>354</v>
      </c>
    </row>
    <row r="198" spans="1:7" ht="15" customHeight="1" x14ac:dyDescent="0.25">
      <c r="A198" t="s">
        <v>467</v>
      </c>
      <c r="B198" t="s">
        <v>172</v>
      </c>
      <c r="C198" t="s">
        <v>368</v>
      </c>
      <c r="D198" t="s">
        <v>369</v>
      </c>
      <c r="E198" t="s">
        <v>201</v>
      </c>
      <c r="F198" t="s">
        <v>55</v>
      </c>
      <c r="G198" t="s">
        <v>370</v>
      </c>
    </row>
    <row r="199" spans="1:7" ht="15" customHeight="1" x14ac:dyDescent="0.25">
      <c r="A199" t="s">
        <v>468</v>
      </c>
      <c r="B199" t="s">
        <v>172</v>
      </c>
      <c r="C199">
        <v>71274</v>
      </c>
      <c r="D199">
        <v>103059</v>
      </c>
      <c r="E199">
        <v>1</v>
      </c>
      <c r="F199">
        <v>1</v>
      </c>
      <c r="G199" t="s">
        <v>354</v>
      </c>
    </row>
    <row r="200" spans="1:7" ht="15" customHeight="1" x14ac:dyDescent="0.25">
      <c r="A200" t="s">
        <v>469</v>
      </c>
      <c r="B200" t="s">
        <v>185</v>
      </c>
      <c r="C200" t="s">
        <v>208</v>
      </c>
      <c r="D200" t="s">
        <v>55</v>
      </c>
      <c r="E200" t="s">
        <v>55</v>
      </c>
      <c r="F200" t="s">
        <v>55</v>
      </c>
      <c r="G200" t="s">
        <v>209</v>
      </c>
    </row>
    <row r="201" spans="1:7" ht="15" customHeight="1" x14ac:dyDescent="0.25">
      <c r="A201" t="s">
        <v>470</v>
      </c>
      <c r="B201" t="s">
        <v>172</v>
      </c>
      <c r="C201" t="s">
        <v>368</v>
      </c>
      <c r="D201" t="s">
        <v>369</v>
      </c>
      <c r="E201" t="s">
        <v>201</v>
      </c>
      <c r="F201" t="s">
        <v>55</v>
      </c>
      <c r="G201" t="s">
        <v>370</v>
      </c>
    </row>
    <row r="202" spans="1:7" ht="15" customHeight="1" x14ac:dyDescent="0.25">
      <c r="A202" t="s">
        <v>471</v>
      </c>
      <c r="B202" t="s">
        <v>172</v>
      </c>
      <c r="C202">
        <v>71274</v>
      </c>
      <c r="D202">
        <v>103059</v>
      </c>
      <c r="E202">
        <v>1</v>
      </c>
      <c r="F202">
        <v>1</v>
      </c>
      <c r="G202" t="s">
        <v>354</v>
      </c>
    </row>
    <row r="203" spans="1:7" ht="15" customHeight="1" x14ac:dyDescent="0.25">
      <c r="A203" t="s">
        <v>472</v>
      </c>
      <c r="B203" t="s">
        <v>172</v>
      </c>
      <c r="C203" t="s">
        <v>368</v>
      </c>
      <c r="D203" t="s">
        <v>369</v>
      </c>
      <c r="E203" t="s">
        <v>201</v>
      </c>
      <c r="F203" t="s">
        <v>55</v>
      </c>
      <c r="G203" t="s">
        <v>370</v>
      </c>
    </row>
    <row r="204" spans="1:7" ht="15" customHeight="1" x14ac:dyDescent="0.25">
      <c r="A204" t="s">
        <v>473</v>
      </c>
      <c r="B204" t="s">
        <v>172</v>
      </c>
      <c r="C204">
        <v>71274</v>
      </c>
      <c r="D204">
        <v>103059</v>
      </c>
      <c r="E204">
        <v>1</v>
      </c>
      <c r="F204">
        <v>1</v>
      </c>
      <c r="G204" t="s">
        <v>354</v>
      </c>
    </row>
    <row r="205" spans="1:7" ht="15" customHeight="1" x14ac:dyDescent="0.25">
      <c r="A205" t="s">
        <v>474</v>
      </c>
      <c r="B205" t="s">
        <v>172</v>
      </c>
      <c r="C205" t="s">
        <v>368</v>
      </c>
      <c r="D205" t="s">
        <v>369</v>
      </c>
      <c r="E205" t="s">
        <v>201</v>
      </c>
      <c r="F205" t="s">
        <v>55</v>
      </c>
      <c r="G205" t="s">
        <v>370</v>
      </c>
    </row>
    <row r="206" spans="1:7" ht="15" customHeight="1" x14ac:dyDescent="0.25">
      <c r="A206" t="s">
        <v>475</v>
      </c>
      <c r="B206" t="s">
        <v>172</v>
      </c>
      <c r="C206">
        <v>71274</v>
      </c>
      <c r="D206">
        <v>103059</v>
      </c>
      <c r="E206">
        <v>1</v>
      </c>
      <c r="F206">
        <v>1</v>
      </c>
      <c r="G206" t="s">
        <v>354</v>
      </c>
    </row>
    <row r="207" spans="1:7" ht="15" customHeight="1" x14ac:dyDescent="0.25">
      <c r="A207" t="s">
        <v>476</v>
      </c>
      <c r="B207" t="s">
        <v>172</v>
      </c>
      <c r="C207">
        <v>71274</v>
      </c>
      <c r="D207">
        <v>103059</v>
      </c>
      <c r="E207">
        <v>1</v>
      </c>
      <c r="F207">
        <v>1</v>
      </c>
      <c r="G207" t="s">
        <v>354</v>
      </c>
    </row>
    <row r="208" spans="1:7" ht="15" customHeight="1" x14ac:dyDescent="0.25">
      <c r="A208" t="s">
        <v>477</v>
      </c>
      <c r="B208" t="s">
        <v>172</v>
      </c>
      <c r="C208" t="s">
        <v>368</v>
      </c>
      <c r="D208" t="s">
        <v>369</v>
      </c>
      <c r="E208" t="s">
        <v>201</v>
      </c>
      <c r="F208" t="s">
        <v>55</v>
      </c>
      <c r="G208" t="s">
        <v>370</v>
      </c>
    </row>
    <row r="209" spans="1:7" ht="15" customHeight="1" x14ac:dyDescent="0.25">
      <c r="A209" t="s">
        <v>478</v>
      </c>
      <c r="B209" t="s">
        <v>172</v>
      </c>
      <c r="C209">
        <v>71274</v>
      </c>
      <c r="D209">
        <v>103059</v>
      </c>
      <c r="E209">
        <v>1</v>
      </c>
      <c r="F209">
        <v>1</v>
      </c>
      <c r="G209" t="s">
        <v>354</v>
      </c>
    </row>
    <row r="210" spans="1:7" ht="15" customHeight="1" x14ac:dyDescent="0.25">
      <c r="A210" t="s">
        <v>479</v>
      </c>
      <c r="B210" t="s">
        <v>172</v>
      </c>
      <c r="C210" t="s">
        <v>368</v>
      </c>
      <c r="D210" t="s">
        <v>369</v>
      </c>
      <c r="E210" t="s">
        <v>201</v>
      </c>
      <c r="F210" t="s">
        <v>55</v>
      </c>
      <c r="G210" t="s">
        <v>370</v>
      </c>
    </row>
    <row r="211" spans="1:7" ht="15" customHeight="1" x14ac:dyDescent="0.25">
      <c r="A211" t="s">
        <v>480</v>
      </c>
      <c r="B211" t="s">
        <v>172</v>
      </c>
      <c r="C211">
        <v>71274</v>
      </c>
      <c r="D211">
        <v>103059</v>
      </c>
      <c r="E211">
        <v>1</v>
      </c>
      <c r="F211">
        <v>1</v>
      </c>
      <c r="G211" t="s">
        <v>354</v>
      </c>
    </row>
    <row r="212" spans="1:7" ht="15" customHeight="1" x14ac:dyDescent="0.25">
      <c r="A212" t="s">
        <v>481</v>
      </c>
      <c r="B212" t="s">
        <v>172</v>
      </c>
      <c r="C212" t="s">
        <v>368</v>
      </c>
      <c r="D212" t="s">
        <v>369</v>
      </c>
      <c r="E212" t="s">
        <v>201</v>
      </c>
      <c r="F212" t="s">
        <v>55</v>
      </c>
      <c r="G212" t="s">
        <v>370</v>
      </c>
    </row>
    <row r="213" spans="1:7" ht="15" customHeight="1" x14ac:dyDescent="0.25">
      <c r="A213" t="s">
        <v>482</v>
      </c>
      <c r="B213" t="s">
        <v>172</v>
      </c>
      <c r="C213">
        <v>71274</v>
      </c>
      <c r="D213">
        <v>103059</v>
      </c>
      <c r="E213">
        <v>1</v>
      </c>
      <c r="F213">
        <v>1</v>
      </c>
      <c r="G213" t="s">
        <v>354</v>
      </c>
    </row>
    <row r="214" spans="1:7" ht="15" customHeight="1" x14ac:dyDescent="0.25">
      <c r="A214" t="s">
        <v>483</v>
      </c>
      <c r="B214" t="s">
        <v>185</v>
      </c>
      <c r="C214" t="s">
        <v>484</v>
      </c>
      <c r="D214" t="s">
        <v>55</v>
      </c>
      <c r="E214" t="s">
        <v>55</v>
      </c>
      <c r="F214" t="s">
        <v>55</v>
      </c>
      <c r="G214" t="s">
        <v>485</v>
      </c>
    </row>
    <row r="215" spans="1:7" ht="15" customHeight="1" x14ac:dyDescent="0.25">
      <c r="A215" t="s">
        <v>486</v>
      </c>
      <c r="B215" t="s">
        <v>172</v>
      </c>
      <c r="C215" t="s">
        <v>368</v>
      </c>
      <c r="D215" t="s">
        <v>369</v>
      </c>
      <c r="E215" t="s">
        <v>201</v>
      </c>
      <c r="F215" t="s">
        <v>55</v>
      </c>
      <c r="G215" t="s">
        <v>370</v>
      </c>
    </row>
    <row r="216" spans="1:7" ht="15" customHeight="1" x14ac:dyDescent="0.25">
      <c r="A216" t="s">
        <v>487</v>
      </c>
      <c r="B216" t="s">
        <v>172</v>
      </c>
      <c r="C216">
        <v>71274</v>
      </c>
      <c r="D216">
        <v>103059</v>
      </c>
      <c r="E216">
        <v>1</v>
      </c>
      <c r="F216">
        <v>1</v>
      </c>
      <c r="G216" t="s">
        <v>354</v>
      </c>
    </row>
    <row r="217" spans="1:7" ht="15" customHeight="1" x14ac:dyDescent="0.25">
      <c r="A217" t="s">
        <v>488</v>
      </c>
      <c r="B217" t="s">
        <v>172</v>
      </c>
      <c r="C217" t="s">
        <v>368</v>
      </c>
      <c r="D217" t="s">
        <v>369</v>
      </c>
      <c r="E217" t="s">
        <v>201</v>
      </c>
      <c r="F217" t="s">
        <v>55</v>
      </c>
      <c r="G217" t="s">
        <v>370</v>
      </c>
    </row>
    <row r="218" spans="1:7" ht="15" customHeight="1" x14ac:dyDescent="0.25">
      <c r="A218" t="s">
        <v>489</v>
      </c>
      <c r="B218" t="s">
        <v>172</v>
      </c>
      <c r="C218">
        <v>71274</v>
      </c>
      <c r="D218">
        <v>103059</v>
      </c>
      <c r="E218">
        <v>1</v>
      </c>
      <c r="F218">
        <v>1</v>
      </c>
      <c r="G218" t="s">
        <v>354</v>
      </c>
    </row>
    <row r="219" spans="1:7" ht="15" customHeight="1" x14ac:dyDescent="0.25">
      <c r="A219" t="s">
        <v>490</v>
      </c>
      <c r="B219" t="s">
        <v>172</v>
      </c>
      <c r="C219" t="s">
        <v>368</v>
      </c>
      <c r="D219" t="s">
        <v>369</v>
      </c>
      <c r="E219" t="s">
        <v>201</v>
      </c>
      <c r="F219" t="s">
        <v>55</v>
      </c>
      <c r="G219" t="s">
        <v>370</v>
      </c>
    </row>
    <row r="220" spans="1:7" ht="15" customHeight="1" x14ac:dyDescent="0.25">
      <c r="A220" t="s">
        <v>491</v>
      </c>
      <c r="B220" t="s">
        <v>172</v>
      </c>
      <c r="C220">
        <v>71274</v>
      </c>
      <c r="D220">
        <v>103059</v>
      </c>
      <c r="E220">
        <v>1</v>
      </c>
      <c r="F220">
        <v>1</v>
      </c>
      <c r="G220" t="s">
        <v>354</v>
      </c>
    </row>
    <row r="221" spans="1:7" ht="15" customHeight="1" x14ac:dyDescent="0.25">
      <c r="A221" t="s">
        <v>492</v>
      </c>
      <c r="B221" t="s">
        <v>172</v>
      </c>
      <c r="C221" t="s">
        <v>368</v>
      </c>
      <c r="D221" t="s">
        <v>369</v>
      </c>
      <c r="E221" t="s">
        <v>201</v>
      </c>
      <c r="F221" t="s">
        <v>55</v>
      </c>
      <c r="G221" t="s">
        <v>370</v>
      </c>
    </row>
    <row r="222" spans="1:7" ht="15" customHeight="1" x14ac:dyDescent="0.25">
      <c r="A222" t="s">
        <v>493</v>
      </c>
      <c r="B222" t="s">
        <v>172</v>
      </c>
      <c r="C222">
        <v>71274</v>
      </c>
      <c r="D222">
        <v>103059</v>
      </c>
      <c r="E222">
        <v>1</v>
      </c>
      <c r="F222">
        <v>1</v>
      </c>
      <c r="G222" t="s">
        <v>354</v>
      </c>
    </row>
    <row r="223" spans="1:7" ht="15" customHeight="1" x14ac:dyDescent="0.25">
      <c r="A223" t="s">
        <v>494</v>
      </c>
      <c r="B223" t="s">
        <v>172</v>
      </c>
      <c r="C223" t="s">
        <v>368</v>
      </c>
      <c r="D223" t="s">
        <v>369</v>
      </c>
      <c r="E223" t="s">
        <v>201</v>
      </c>
      <c r="F223" t="s">
        <v>55</v>
      </c>
      <c r="G223" t="s">
        <v>370</v>
      </c>
    </row>
    <row r="224" spans="1:7" ht="15" customHeight="1" x14ac:dyDescent="0.25">
      <c r="A224" t="s">
        <v>495</v>
      </c>
      <c r="B224" t="s">
        <v>172</v>
      </c>
      <c r="C224">
        <v>71274</v>
      </c>
      <c r="D224">
        <v>103059</v>
      </c>
      <c r="E224">
        <v>1</v>
      </c>
      <c r="F224">
        <v>1</v>
      </c>
      <c r="G224" t="s">
        <v>354</v>
      </c>
    </row>
    <row r="225" spans="1:7" ht="15" customHeight="1" x14ac:dyDescent="0.25">
      <c r="A225" t="s">
        <v>496</v>
      </c>
      <c r="B225" t="s">
        <v>172</v>
      </c>
      <c r="C225" t="s">
        <v>368</v>
      </c>
      <c r="D225" t="s">
        <v>369</v>
      </c>
      <c r="E225" t="s">
        <v>201</v>
      </c>
      <c r="F225" t="s">
        <v>55</v>
      </c>
      <c r="G225" t="s">
        <v>370</v>
      </c>
    </row>
    <row r="226" spans="1:7" ht="15" customHeight="1" x14ac:dyDescent="0.25">
      <c r="A226" t="s">
        <v>497</v>
      </c>
      <c r="B226" t="s">
        <v>172</v>
      </c>
      <c r="C226">
        <v>71274</v>
      </c>
      <c r="D226">
        <v>103059</v>
      </c>
      <c r="E226">
        <v>1</v>
      </c>
      <c r="F226">
        <v>1</v>
      </c>
      <c r="G226" t="s">
        <v>354</v>
      </c>
    </row>
    <row r="227" spans="1:7" ht="15" customHeight="1" x14ac:dyDescent="0.25">
      <c r="A227" t="s">
        <v>498</v>
      </c>
      <c r="B227" t="s">
        <v>172</v>
      </c>
      <c r="C227" t="s">
        <v>368</v>
      </c>
      <c r="D227" t="s">
        <v>369</v>
      </c>
      <c r="E227" t="s">
        <v>201</v>
      </c>
      <c r="F227" t="s">
        <v>55</v>
      </c>
      <c r="G227" t="s">
        <v>370</v>
      </c>
    </row>
    <row r="228" spans="1:7" ht="15" customHeight="1" x14ac:dyDescent="0.25">
      <c r="A228" t="s">
        <v>499</v>
      </c>
      <c r="B228" t="s">
        <v>500</v>
      </c>
      <c r="C228" t="s">
        <v>368</v>
      </c>
      <c r="D228" t="s">
        <v>55</v>
      </c>
      <c r="E228" t="s">
        <v>55</v>
      </c>
      <c r="F228" t="s">
        <v>55</v>
      </c>
      <c r="G228" t="s">
        <v>446</v>
      </c>
    </row>
    <row r="229" spans="1:7" ht="15" customHeight="1" x14ac:dyDescent="0.25">
      <c r="A229" t="s">
        <v>501</v>
      </c>
      <c r="B229" t="s">
        <v>500</v>
      </c>
      <c r="C229" t="s">
        <v>368</v>
      </c>
      <c r="D229" t="s">
        <v>55</v>
      </c>
      <c r="E229" t="s">
        <v>55</v>
      </c>
      <c r="F229" t="s">
        <v>55</v>
      </c>
      <c r="G229" t="s">
        <v>446</v>
      </c>
    </row>
    <row r="230" spans="1:7" ht="15" customHeight="1" x14ac:dyDescent="0.25">
      <c r="A230" t="s">
        <v>502</v>
      </c>
      <c r="B230" t="s">
        <v>172</v>
      </c>
      <c r="C230">
        <v>71274</v>
      </c>
      <c r="D230">
        <v>103059</v>
      </c>
      <c r="E230">
        <v>3</v>
      </c>
      <c r="F230">
        <v>1</v>
      </c>
      <c r="G230" t="s">
        <v>358</v>
      </c>
    </row>
    <row r="231" spans="1:7" ht="15" customHeight="1" x14ac:dyDescent="0.25">
      <c r="A231" t="s">
        <v>503</v>
      </c>
      <c r="B231" t="s">
        <v>175</v>
      </c>
      <c r="C231">
        <v>71274</v>
      </c>
      <c r="D231">
        <v>103059</v>
      </c>
      <c r="E231">
        <v>3</v>
      </c>
      <c r="F231">
        <v>1</v>
      </c>
      <c r="G231" t="s">
        <v>358</v>
      </c>
    </row>
    <row r="232" spans="1:7" ht="15" customHeight="1" x14ac:dyDescent="0.25">
      <c r="A232" t="s">
        <v>504</v>
      </c>
      <c r="B232" t="s">
        <v>175</v>
      </c>
      <c r="C232">
        <v>71274</v>
      </c>
      <c r="D232">
        <v>103059</v>
      </c>
      <c r="E232">
        <v>1</v>
      </c>
      <c r="F232">
        <v>1</v>
      </c>
      <c r="G232" t="s">
        <v>354</v>
      </c>
    </row>
    <row r="233" spans="1:7" ht="15" customHeight="1" x14ac:dyDescent="0.25">
      <c r="A233" t="s">
        <v>505</v>
      </c>
      <c r="B233" t="s">
        <v>172</v>
      </c>
      <c r="C233">
        <v>71274</v>
      </c>
      <c r="D233">
        <v>103059</v>
      </c>
      <c r="E233">
        <v>3</v>
      </c>
      <c r="F233">
        <v>1</v>
      </c>
      <c r="G233" t="s">
        <v>358</v>
      </c>
    </row>
    <row r="234" spans="1:7" ht="15" customHeight="1" x14ac:dyDescent="0.25">
      <c r="A234" t="s">
        <v>506</v>
      </c>
      <c r="B234" t="s">
        <v>185</v>
      </c>
      <c r="C234" t="s">
        <v>327</v>
      </c>
      <c r="D234" t="s">
        <v>55</v>
      </c>
      <c r="E234" t="s">
        <v>55</v>
      </c>
      <c r="F234" t="s">
        <v>55</v>
      </c>
      <c r="G234" t="s">
        <v>328</v>
      </c>
    </row>
    <row r="235" spans="1:7" ht="15" customHeight="1" x14ac:dyDescent="0.25">
      <c r="A235" t="s">
        <v>507</v>
      </c>
      <c r="B235" t="s">
        <v>185</v>
      </c>
      <c r="C235" t="s">
        <v>327</v>
      </c>
      <c r="D235" t="s">
        <v>55</v>
      </c>
      <c r="E235" t="s">
        <v>55</v>
      </c>
      <c r="F235" t="s">
        <v>55</v>
      </c>
      <c r="G235" t="s">
        <v>328</v>
      </c>
    </row>
    <row r="236" spans="1:7" ht="15" customHeight="1" x14ac:dyDescent="0.25">
      <c r="A236" t="s">
        <v>508</v>
      </c>
      <c r="B236" t="s">
        <v>172</v>
      </c>
      <c r="C236">
        <v>71274</v>
      </c>
      <c r="D236">
        <v>103059</v>
      </c>
      <c r="E236">
        <v>2</v>
      </c>
      <c r="F236">
        <v>1</v>
      </c>
      <c r="G236" t="s">
        <v>360</v>
      </c>
    </row>
    <row r="237" spans="1:7" ht="15" customHeight="1" x14ac:dyDescent="0.25">
      <c r="A237" t="s">
        <v>509</v>
      </c>
      <c r="B237" t="s">
        <v>175</v>
      </c>
      <c r="C237">
        <v>71274</v>
      </c>
      <c r="D237">
        <v>103059</v>
      </c>
      <c r="E237">
        <v>2</v>
      </c>
      <c r="F237">
        <v>1</v>
      </c>
      <c r="G237" t="s">
        <v>360</v>
      </c>
    </row>
    <row r="238" spans="1:7" ht="15" customHeight="1" x14ac:dyDescent="0.25">
      <c r="A238" t="s">
        <v>510</v>
      </c>
      <c r="B238" t="s">
        <v>175</v>
      </c>
      <c r="C238">
        <v>71274</v>
      </c>
      <c r="D238">
        <v>103059</v>
      </c>
      <c r="E238">
        <v>3</v>
      </c>
      <c r="F238">
        <v>1</v>
      </c>
      <c r="G238" t="s">
        <v>358</v>
      </c>
    </row>
    <row r="239" spans="1:7" ht="15" customHeight="1" x14ac:dyDescent="0.25">
      <c r="A239" t="s">
        <v>511</v>
      </c>
      <c r="B239" t="s">
        <v>500</v>
      </c>
      <c r="C239" t="s">
        <v>368</v>
      </c>
      <c r="D239" t="s">
        <v>55</v>
      </c>
      <c r="E239" t="s">
        <v>55</v>
      </c>
      <c r="F239" t="s">
        <v>55</v>
      </c>
      <c r="G239" t="s">
        <v>446</v>
      </c>
    </row>
    <row r="240" spans="1:7" ht="15" customHeight="1" x14ac:dyDescent="0.25">
      <c r="A240" t="s">
        <v>512</v>
      </c>
      <c r="B240" t="s">
        <v>172</v>
      </c>
      <c r="C240">
        <v>71274</v>
      </c>
      <c r="D240">
        <v>103059</v>
      </c>
      <c r="E240">
        <v>2</v>
      </c>
      <c r="F240">
        <v>1</v>
      </c>
      <c r="G240" t="s">
        <v>360</v>
      </c>
    </row>
    <row r="241" spans="1:7" ht="15" customHeight="1" x14ac:dyDescent="0.25">
      <c r="A241" t="s">
        <v>513</v>
      </c>
      <c r="B241" t="s">
        <v>172</v>
      </c>
      <c r="C241">
        <v>71274</v>
      </c>
      <c r="D241">
        <v>103059</v>
      </c>
      <c r="E241">
        <v>3</v>
      </c>
      <c r="F241">
        <v>1</v>
      </c>
      <c r="G241" t="s">
        <v>358</v>
      </c>
    </row>
    <row r="242" spans="1:7" ht="15" customHeight="1" x14ac:dyDescent="0.25">
      <c r="A242" t="s">
        <v>514</v>
      </c>
      <c r="B242" t="s">
        <v>500</v>
      </c>
      <c r="C242" t="s">
        <v>368</v>
      </c>
      <c r="D242" t="s">
        <v>55</v>
      </c>
      <c r="E242" t="s">
        <v>55</v>
      </c>
      <c r="F242" t="s">
        <v>55</v>
      </c>
      <c r="G242" t="s">
        <v>446</v>
      </c>
    </row>
    <row r="243" spans="1:7" ht="15" customHeight="1" x14ac:dyDescent="0.25">
      <c r="A243" t="s">
        <v>515</v>
      </c>
      <c r="B243" t="s">
        <v>172</v>
      </c>
      <c r="C243" t="s">
        <v>368</v>
      </c>
      <c r="D243" t="s">
        <v>369</v>
      </c>
      <c r="E243" t="s">
        <v>309</v>
      </c>
      <c r="F243" t="s">
        <v>55</v>
      </c>
      <c r="G243" t="s">
        <v>516</v>
      </c>
    </row>
    <row r="244" spans="1:7" ht="15" customHeight="1" x14ac:dyDescent="0.25">
      <c r="A244" t="s">
        <v>517</v>
      </c>
      <c r="B244" t="s">
        <v>172</v>
      </c>
      <c r="C244" t="s">
        <v>368</v>
      </c>
      <c r="D244" t="s">
        <v>369</v>
      </c>
      <c r="E244" t="s">
        <v>309</v>
      </c>
      <c r="F244" t="s">
        <v>55</v>
      </c>
      <c r="G244" t="s">
        <v>516</v>
      </c>
    </row>
    <row r="245" spans="1:7" ht="15" customHeight="1" x14ac:dyDescent="0.25">
      <c r="A245" t="s">
        <v>518</v>
      </c>
      <c r="B245" t="s">
        <v>172</v>
      </c>
      <c r="C245" t="s">
        <v>368</v>
      </c>
      <c r="D245" t="s">
        <v>369</v>
      </c>
      <c r="E245" t="s">
        <v>309</v>
      </c>
      <c r="F245" t="s">
        <v>55</v>
      </c>
      <c r="G245" t="s">
        <v>516</v>
      </c>
    </row>
    <row r="246" spans="1:7" ht="15" customHeight="1" x14ac:dyDescent="0.25">
      <c r="A246" t="s">
        <v>519</v>
      </c>
      <c r="B246" t="s">
        <v>172</v>
      </c>
      <c r="C246" t="s">
        <v>368</v>
      </c>
      <c r="D246" t="s">
        <v>369</v>
      </c>
      <c r="E246" t="s">
        <v>309</v>
      </c>
      <c r="F246" t="s">
        <v>55</v>
      </c>
      <c r="G246" t="s">
        <v>516</v>
      </c>
    </row>
    <row r="247" spans="1:7" ht="15" customHeight="1" x14ac:dyDescent="0.25">
      <c r="A247" t="s">
        <v>520</v>
      </c>
      <c r="B247" t="s">
        <v>521</v>
      </c>
      <c r="C247">
        <v>71195</v>
      </c>
      <c r="D247" t="s">
        <v>55</v>
      </c>
      <c r="E247" t="s">
        <v>55</v>
      </c>
      <c r="F247" t="s">
        <v>55</v>
      </c>
      <c r="G247" t="s">
        <v>522</v>
      </c>
    </row>
    <row r="248" spans="1:7" ht="15" customHeight="1" x14ac:dyDescent="0.25">
      <c r="A248" t="s">
        <v>523</v>
      </c>
      <c r="B248" t="s">
        <v>500</v>
      </c>
      <c r="C248" t="s">
        <v>524</v>
      </c>
      <c r="D248" t="s">
        <v>55</v>
      </c>
      <c r="E248" t="s">
        <v>55</v>
      </c>
      <c r="F248" t="s">
        <v>55</v>
      </c>
      <c r="G248" t="s">
        <v>525</v>
      </c>
    </row>
    <row r="249" spans="1:7" ht="15" customHeight="1" x14ac:dyDescent="0.25">
      <c r="A249" t="s">
        <v>526</v>
      </c>
      <c r="B249" t="s">
        <v>172</v>
      </c>
      <c r="C249" t="s">
        <v>368</v>
      </c>
      <c r="D249" t="s">
        <v>369</v>
      </c>
      <c r="E249" t="s">
        <v>309</v>
      </c>
      <c r="F249" t="s">
        <v>55</v>
      </c>
      <c r="G249" t="s">
        <v>516</v>
      </c>
    </row>
    <row r="250" spans="1:7" ht="15" customHeight="1" x14ac:dyDescent="0.25">
      <c r="A250" t="s">
        <v>527</v>
      </c>
      <c r="B250" t="s">
        <v>500</v>
      </c>
      <c r="C250" t="s">
        <v>524</v>
      </c>
      <c r="D250" t="s">
        <v>55</v>
      </c>
      <c r="E250" t="s">
        <v>55</v>
      </c>
      <c r="F250" t="s">
        <v>55</v>
      </c>
      <c r="G250" t="s">
        <v>525</v>
      </c>
    </row>
    <row r="251" spans="1:7" ht="15" customHeight="1" x14ac:dyDescent="0.25">
      <c r="A251" t="s">
        <v>528</v>
      </c>
      <c r="B251" t="s">
        <v>500</v>
      </c>
      <c r="C251" t="s">
        <v>524</v>
      </c>
      <c r="D251" t="s">
        <v>55</v>
      </c>
      <c r="E251" t="s">
        <v>55</v>
      </c>
      <c r="F251" t="s">
        <v>55</v>
      </c>
      <c r="G251" t="s">
        <v>525</v>
      </c>
    </row>
    <row r="252" spans="1:7" ht="15" customHeight="1" x14ac:dyDescent="0.25">
      <c r="A252" t="s">
        <v>529</v>
      </c>
      <c r="B252" t="s">
        <v>500</v>
      </c>
      <c r="C252" t="s">
        <v>524</v>
      </c>
      <c r="D252" t="s">
        <v>55</v>
      </c>
      <c r="E252" t="s">
        <v>55</v>
      </c>
      <c r="F252" t="s">
        <v>55</v>
      </c>
      <c r="G252" t="s">
        <v>525</v>
      </c>
    </row>
    <row r="253" spans="1:7" ht="15" customHeight="1" x14ac:dyDescent="0.25">
      <c r="A253" t="s">
        <v>530</v>
      </c>
      <c r="B253" t="s">
        <v>185</v>
      </c>
      <c r="C253" t="s">
        <v>327</v>
      </c>
      <c r="D253" t="s">
        <v>55</v>
      </c>
      <c r="E253" t="s">
        <v>55</v>
      </c>
      <c r="F253" t="s">
        <v>55</v>
      </c>
      <c r="G253" t="s">
        <v>328</v>
      </c>
    </row>
    <row r="254" spans="1:7" ht="15" customHeight="1" x14ac:dyDescent="0.25">
      <c r="A254" t="s">
        <v>531</v>
      </c>
      <c r="B254" t="s">
        <v>172</v>
      </c>
      <c r="C254" t="s">
        <v>368</v>
      </c>
      <c r="D254" t="s">
        <v>369</v>
      </c>
      <c r="E254" t="s">
        <v>180</v>
      </c>
      <c r="F254" t="s">
        <v>55</v>
      </c>
      <c r="G254" t="s">
        <v>532</v>
      </c>
    </row>
    <row r="255" spans="1:7" ht="15" customHeight="1" x14ac:dyDescent="0.25">
      <c r="A255" t="s">
        <v>533</v>
      </c>
      <c r="B255" t="s">
        <v>172</v>
      </c>
      <c r="C255" t="s">
        <v>368</v>
      </c>
      <c r="D255" t="s">
        <v>369</v>
      </c>
      <c r="E255" t="s">
        <v>180</v>
      </c>
      <c r="F255" t="s">
        <v>55</v>
      </c>
      <c r="G255" t="s">
        <v>532</v>
      </c>
    </row>
    <row r="256" spans="1:7" ht="15" customHeight="1" x14ac:dyDescent="0.25">
      <c r="A256" t="s">
        <v>534</v>
      </c>
      <c r="B256" t="s">
        <v>172</v>
      </c>
      <c r="C256" t="s">
        <v>368</v>
      </c>
      <c r="D256" t="s">
        <v>369</v>
      </c>
      <c r="E256" t="s">
        <v>180</v>
      </c>
      <c r="F256" t="s">
        <v>55</v>
      </c>
      <c r="G256" t="s">
        <v>532</v>
      </c>
    </row>
    <row r="257" spans="1:7" ht="15" customHeight="1" x14ac:dyDescent="0.25">
      <c r="A257" t="s">
        <v>535</v>
      </c>
      <c r="B257" t="s">
        <v>172</v>
      </c>
      <c r="C257" t="s">
        <v>368</v>
      </c>
      <c r="D257" t="s">
        <v>369</v>
      </c>
      <c r="E257" t="s">
        <v>180</v>
      </c>
      <c r="F257" t="s">
        <v>55</v>
      </c>
      <c r="G257" t="s">
        <v>532</v>
      </c>
    </row>
    <row r="258" spans="1:7" ht="15" customHeight="1" x14ac:dyDescent="0.25">
      <c r="A258" t="s">
        <v>536</v>
      </c>
      <c r="B258" t="s">
        <v>185</v>
      </c>
      <c r="C258" t="s">
        <v>293</v>
      </c>
      <c r="D258" t="s">
        <v>55</v>
      </c>
      <c r="E258" t="s">
        <v>55</v>
      </c>
      <c r="F258" t="s">
        <v>55</v>
      </c>
      <c r="G258" t="s">
        <v>294</v>
      </c>
    </row>
    <row r="259" spans="1:7" ht="15" customHeight="1" x14ac:dyDescent="0.25">
      <c r="A259" t="s">
        <v>537</v>
      </c>
      <c r="B259" t="s">
        <v>172</v>
      </c>
      <c r="C259" t="s">
        <v>368</v>
      </c>
      <c r="D259" t="s">
        <v>369</v>
      </c>
      <c r="E259" t="s">
        <v>180</v>
      </c>
      <c r="F259" t="s">
        <v>55</v>
      </c>
      <c r="G259" t="s">
        <v>532</v>
      </c>
    </row>
    <row r="260" spans="1:7" ht="15" customHeight="1" x14ac:dyDescent="0.25">
      <c r="A260" t="s">
        <v>538</v>
      </c>
      <c r="B260" t="s">
        <v>175</v>
      </c>
      <c r="C260" t="s">
        <v>539</v>
      </c>
      <c r="D260" t="s">
        <v>540</v>
      </c>
      <c r="E260" t="s">
        <v>55</v>
      </c>
      <c r="F260" t="s">
        <v>201</v>
      </c>
      <c r="G260" t="s">
        <v>541</v>
      </c>
    </row>
    <row r="261" spans="1:7" ht="15" customHeight="1" x14ac:dyDescent="0.25">
      <c r="A261" t="s">
        <v>542</v>
      </c>
      <c r="B261" t="s">
        <v>175</v>
      </c>
      <c r="C261">
        <v>70617</v>
      </c>
      <c r="D261">
        <v>103060</v>
      </c>
      <c r="E261">
        <v>1</v>
      </c>
      <c r="F261">
        <v>1</v>
      </c>
      <c r="G261" t="s">
        <v>196</v>
      </c>
    </row>
    <row r="262" spans="1:7" ht="15" customHeight="1" x14ac:dyDescent="0.25">
      <c r="A262" t="s">
        <v>543</v>
      </c>
      <c r="B262" t="s">
        <v>175</v>
      </c>
      <c r="C262" t="s">
        <v>539</v>
      </c>
      <c r="D262" t="s">
        <v>544</v>
      </c>
      <c r="E262" t="s">
        <v>55</v>
      </c>
      <c r="F262" t="s">
        <v>201</v>
      </c>
      <c r="G262" t="s">
        <v>545</v>
      </c>
    </row>
    <row r="263" spans="1:7" ht="15" customHeight="1" x14ac:dyDescent="0.25">
      <c r="A263" t="s">
        <v>546</v>
      </c>
      <c r="B263" t="s">
        <v>185</v>
      </c>
      <c r="C263" t="s">
        <v>547</v>
      </c>
      <c r="D263" t="s">
        <v>55</v>
      </c>
      <c r="E263" t="s">
        <v>55</v>
      </c>
      <c r="F263" t="s">
        <v>55</v>
      </c>
      <c r="G263" t="s">
        <v>548</v>
      </c>
    </row>
    <row r="264" spans="1:7" ht="15" customHeight="1" x14ac:dyDescent="0.25">
      <c r="A264" t="s">
        <v>549</v>
      </c>
      <c r="B264" t="s">
        <v>175</v>
      </c>
      <c r="C264">
        <v>70617</v>
      </c>
      <c r="D264">
        <v>103060</v>
      </c>
      <c r="E264">
        <v>3</v>
      </c>
      <c r="F264">
        <v>1</v>
      </c>
      <c r="G264" t="s">
        <v>183</v>
      </c>
    </row>
    <row r="265" spans="1:7" ht="15" customHeight="1" x14ac:dyDescent="0.25">
      <c r="A265" t="s">
        <v>550</v>
      </c>
      <c r="B265" t="s">
        <v>172</v>
      </c>
      <c r="C265">
        <v>70617</v>
      </c>
      <c r="D265">
        <v>103060</v>
      </c>
      <c r="E265">
        <v>3</v>
      </c>
      <c r="F265">
        <v>1</v>
      </c>
      <c r="G265" t="s">
        <v>183</v>
      </c>
    </row>
    <row r="266" spans="1:7" ht="15" customHeight="1" x14ac:dyDescent="0.25">
      <c r="A266" t="s">
        <v>551</v>
      </c>
      <c r="B266" t="s">
        <v>172</v>
      </c>
      <c r="C266">
        <v>70617</v>
      </c>
      <c r="D266">
        <v>103060</v>
      </c>
      <c r="E266">
        <v>3</v>
      </c>
      <c r="F266">
        <v>1</v>
      </c>
      <c r="G266" t="s">
        <v>183</v>
      </c>
    </row>
    <row r="267" spans="1:7" ht="15" customHeight="1" x14ac:dyDescent="0.25">
      <c r="A267" t="s">
        <v>552</v>
      </c>
      <c r="B267" t="s">
        <v>172</v>
      </c>
      <c r="C267">
        <v>70617</v>
      </c>
      <c r="D267">
        <v>103060</v>
      </c>
      <c r="E267">
        <v>3</v>
      </c>
      <c r="F267">
        <v>1</v>
      </c>
      <c r="G267" t="s">
        <v>183</v>
      </c>
    </row>
    <row r="268" spans="1:7" ht="15" x14ac:dyDescent="0.25">
      <c r="A268" t="s">
        <v>553</v>
      </c>
      <c r="B268" t="s">
        <v>175</v>
      </c>
      <c r="C268" t="s">
        <v>554</v>
      </c>
      <c r="D268" t="s">
        <v>555</v>
      </c>
      <c r="E268" t="s">
        <v>55</v>
      </c>
      <c r="F268" t="s">
        <v>201</v>
      </c>
      <c r="G268" t="s">
        <v>556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6"/>
  <sheetViews>
    <sheetView zoomScaleNormal="100" workbookViewId="0"/>
  </sheetViews>
  <sheetFormatPr defaultRowHeight="14.45" customHeight="1" x14ac:dyDescent="0.25"/>
  <cols>
    <col min="1" max="3" width="6" customWidth="1"/>
    <col min="4" max="4" width="24" customWidth="1"/>
    <col min="5" max="5" width="14" customWidth="1"/>
    <col min="6" max="6" width="18" customWidth="1"/>
    <col min="7" max="7" width="28" customWidth="1"/>
    <col min="8" max="8" width="20" customWidth="1"/>
    <col min="9" max="9" width="6" customWidth="1"/>
    <col min="10" max="10" width="18" customWidth="1"/>
    <col min="11" max="11" width="10" customWidth="1"/>
    <col min="12" max="12" width="28" customWidth="1"/>
    <col min="13" max="18" width="8" customWidth="1"/>
  </cols>
  <sheetData>
    <row r="1" spans="1:18" ht="14.45" customHeight="1" x14ac:dyDescent="0.2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</row>
    <row r="2" spans="1:18" ht="15" customHeight="1" x14ac:dyDescent="0.25">
      <c r="A2">
        <v>1</v>
      </c>
      <c r="B2">
        <v>1</v>
      </c>
      <c r="C2" t="s">
        <v>56</v>
      </c>
      <c r="D2" t="s">
        <v>557</v>
      </c>
      <c r="E2" t="s">
        <v>57</v>
      </c>
      <c r="F2" t="s">
        <v>558</v>
      </c>
      <c r="G2" t="s">
        <v>559</v>
      </c>
      <c r="H2" t="s">
        <v>63</v>
      </c>
      <c r="I2">
        <v>10</v>
      </c>
      <c r="J2" t="s">
        <v>560</v>
      </c>
      <c r="K2" t="s">
        <v>55</v>
      </c>
      <c r="L2" t="s">
        <v>561</v>
      </c>
    </row>
    <row r="3" spans="1:18" ht="15" customHeight="1" x14ac:dyDescent="0.25">
      <c r="A3">
        <v>2</v>
      </c>
      <c r="B3">
        <v>1</v>
      </c>
      <c r="C3" t="s">
        <v>56</v>
      </c>
      <c r="D3" t="s">
        <v>562</v>
      </c>
      <c r="E3" t="s">
        <v>149</v>
      </c>
      <c r="F3" t="s">
        <v>563</v>
      </c>
      <c r="G3" t="s">
        <v>564</v>
      </c>
      <c r="H3" t="s">
        <v>63</v>
      </c>
      <c r="I3">
        <v>9</v>
      </c>
      <c r="J3" t="s">
        <v>560</v>
      </c>
      <c r="K3" t="s">
        <v>55</v>
      </c>
      <c r="L3" t="s">
        <v>565</v>
      </c>
    </row>
    <row r="4" spans="1:18" ht="15" customHeight="1" x14ac:dyDescent="0.25">
      <c r="A4">
        <v>3</v>
      </c>
      <c r="B4">
        <v>1</v>
      </c>
      <c r="C4" t="s">
        <v>56</v>
      </c>
      <c r="D4" t="s">
        <v>566</v>
      </c>
      <c r="E4" t="s">
        <v>152</v>
      </c>
      <c r="F4" t="s">
        <v>567</v>
      </c>
      <c r="G4" t="s">
        <v>568</v>
      </c>
      <c r="H4" t="s">
        <v>67</v>
      </c>
      <c r="I4">
        <v>16</v>
      </c>
      <c r="J4" t="s">
        <v>560</v>
      </c>
      <c r="K4" t="s">
        <v>55</v>
      </c>
      <c r="L4" t="s">
        <v>569</v>
      </c>
    </row>
    <row r="5" spans="1:18" ht="15" customHeight="1" x14ac:dyDescent="0.25">
      <c r="A5">
        <v>4</v>
      </c>
      <c r="B5">
        <v>1</v>
      </c>
      <c r="C5" t="s">
        <v>56</v>
      </c>
      <c r="D5" t="s">
        <v>570</v>
      </c>
      <c r="E5" t="s">
        <v>155</v>
      </c>
      <c r="F5" t="s">
        <v>571</v>
      </c>
      <c r="G5" t="s">
        <v>572</v>
      </c>
      <c r="H5" t="s">
        <v>573</v>
      </c>
      <c r="I5">
        <v>16</v>
      </c>
      <c r="J5" t="s">
        <v>560</v>
      </c>
      <c r="K5" t="s">
        <v>55</v>
      </c>
      <c r="L5" t="s">
        <v>574</v>
      </c>
    </row>
    <row r="6" spans="1:18" ht="15" customHeight="1" x14ac:dyDescent="0.25">
      <c r="A6">
        <v>5</v>
      </c>
      <c r="B6">
        <v>1</v>
      </c>
      <c r="C6" t="s">
        <v>56</v>
      </c>
      <c r="D6" t="s">
        <v>575</v>
      </c>
      <c r="E6" t="s">
        <v>158</v>
      </c>
      <c r="F6" t="s">
        <v>576</v>
      </c>
      <c r="G6" t="s">
        <v>577</v>
      </c>
      <c r="H6" t="s">
        <v>578</v>
      </c>
      <c r="I6">
        <v>8</v>
      </c>
      <c r="J6" t="s">
        <v>560</v>
      </c>
      <c r="K6" t="s">
        <v>55</v>
      </c>
      <c r="L6" t="s">
        <v>579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68"/>
  <sheetViews>
    <sheetView zoomScaleNormal="100" workbookViewId="0"/>
  </sheetViews>
  <sheetFormatPr defaultRowHeight="14.45" customHeight="1" x14ac:dyDescent="0.25"/>
  <sheetData>
    <row r="1" spans="1:13" ht="15" customHeight="1" x14ac:dyDescent="0.25">
      <c r="A1" t="s">
        <v>164</v>
      </c>
      <c r="B1" t="s">
        <v>166</v>
      </c>
      <c r="C1" t="s">
        <v>580</v>
      </c>
      <c r="D1" t="s">
        <v>581</v>
      </c>
      <c r="E1" t="s">
        <v>582</v>
      </c>
      <c r="F1" t="s">
        <v>583</v>
      </c>
      <c r="G1" t="s">
        <v>584</v>
      </c>
      <c r="H1" t="s">
        <v>585</v>
      </c>
      <c r="I1" t="s">
        <v>586</v>
      </c>
      <c r="J1" t="s">
        <v>587</v>
      </c>
      <c r="K1" t="s">
        <v>588</v>
      </c>
      <c r="L1" t="s">
        <v>589</v>
      </c>
      <c r="M1" t="s">
        <v>590</v>
      </c>
    </row>
    <row r="2" spans="1:13" ht="14.45" customHeight="1" x14ac:dyDescent="0.25">
      <c r="A2" t="s">
        <v>591</v>
      </c>
      <c r="B2" t="s">
        <v>186</v>
      </c>
      <c r="C2">
        <v>543709</v>
      </c>
      <c r="D2" t="s">
        <v>592</v>
      </c>
      <c r="E2" t="s">
        <v>593</v>
      </c>
      <c r="F2" t="s">
        <v>594</v>
      </c>
      <c r="G2" t="s">
        <v>595</v>
      </c>
      <c r="H2" t="s">
        <v>61</v>
      </c>
      <c r="I2" t="s">
        <v>61</v>
      </c>
      <c r="J2" t="s">
        <v>596</v>
      </c>
      <c r="K2" t="s">
        <v>55</v>
      </c>
      <c r="L2" t="s">
        <v>55</v>
      </c>
      <c r="M2" t="s">
        <v>597</v>
      </c>
    </row>
    <row r="3" spans="1:13" ht="14.45" customHeight="1" x14ac:dyDescent="0.25">
      <c r="A3" t="s">
        <v>598</v>
      </c>
      <c r="B3" t="s">
        <v>186</v>
      </c>
      <c r="C3">
        <v>543830</v>
      </c>
      <c r="D3" t="s">
        <v>599</v>
      </c>
      <c r="E3" t="s">
        <v>600</v>
      </c>
      <c r="F3" t="s">
        <v>601</v>
      </c>
      <c r="G3" t="s">
        <v>602</v>
      </c>
      <c r="H3" t="s">
        <v>61</v>
      </c>
      <c r="I3" t="s">
        <v>61</v>
      </c>
      <c r="J3" t="s">
        <v>603</v>
      </c>
      <c r="K3" t="s">
        <v>55</v>
      </c>
      <c r="L3" t="s">
        <v>55</v>
      </c>
      <c r="M3" t="s">
        <v>604</v>
      </c>
    </row>
    <row r="4" spans="1:13" ht="14.45" customHeight="1" x14ac:dyDescent="0.25">
      <c r="A4" t="s">
        <v>598</v>
      </c>
      <c r="B4" t="s">
        <v>186</v>
      </c>
      <c r="C4">
        <v>543838</v>
      </c>
      <c r="D4" t="s">
        <v>605</v>
      </c>
      <c r="E4" t="s">
        <v>606</v>
      </c>
      <c r="F4" t="s">
        <v>607</v>
      </c>
      <c r="G4" t="s">
        <v>608</v>
      </c>
      <c r="H4" t="s">
        <v>61</v>
      </c>
      <c r="I4" t="s">
        <v>61</v>
      </c>
      <c r="J4" t="s">
        <v>609</v>
      </c>
      <c r="K4" t="s">
        <v>55</v>
      </c>
      <c r="L4" t="s">
        <v>55</v>
      </c>
      <c r="M4" t="s">
        <v>610</v>
      </c>
    </row>
    <row r="5" spans="1:13" ht="14.45" customHeight="1" x14ac:dyDescent="0.25">
      <c r="A5" t="s">
        <v>598</v>
      </c>
      <c r="B5" t="s">
        <v>186</v>
      </c>
      <c r="C5">
        <v>543970</v>
      </c>
      <c r="D5" t="s">
        <v>611</v>
      </c>
      <c r="E5" t="s">
        <v>612</v>
      </c>
      <c r="F5" t="s">
        <v>613</v>
      </c>
      <c r="G5" t="s">
        <v>614</v>
      </c>
      <c r="H5" t="s">
        <v>61</v>
      </c>
      <c r="I5" t="s">
        <v>68</v>
      </c>
      <c r="J5" t="s">
        <v>615</v>
      </c>
      <c r="K5" t="s">
        <v>55</v>
      </c>
      <c r="L5" t="s">
        <v>55</v>
      </c>
      <c r="M5" t="s">
        <v>616</v>
      </c>
    </row>
    <row r="6" spans="1:13" ht="14.45" customHeight="1" x14ac:dyDescent="0.25">
      <c r="A6" t="s">
        <v>598</v>
      </c>
      <c r="B6" t="s">
        <v>186</v>
      </c>
      <c r="C6">
        <v>543969</v>
      </c>
      <c r="D6" t="s">
        <v>611</v>
      </c>
      <c r="E6" t="s">
        <v>617</v>
      </c>
      <c r="F6" t="s">
        <v>618</v>
      </c>
      <c r="G6" t="s">
        <v>619</v>
      </c>
      <c r="H6" t="s">
        <v>61</v>
      </c>
      <c r="I6" t="s">
        <v>61</v>
      </c>
      <c r="J6" t="s">
        <v>620</v>
      </c>
      <c r="K6" t="s">
        <v>55</v>
      </c>
      <c r="L6" t="s">
        <v>55</v>
      </c>
      <c r="M6" t="s">
        <v>621</v>
      </c>
    </row>
    <row r="7" spans="1:13" ht="14.45" customHeight="1" x14ac:dyDescent="0.25">
      <c r="A7" t="s">
        <v>598</v>
      </c>
      <c r="B7" t="s">
        <v>186</v>
      </c>
      <c r="C7">
        <v>543889</v>
      </c>
      <c r="D7" t="s">
        <v>622</v>
      </c>
      <c r="E7" t="s">
        <v>623</v>
      </c>
      <c r="F7" t="s">
        <v>624</v>
      </c>
      <c r="G7" t="s">
        <v>625</v>
      </c>
      <c r="H7" t="s">
        <v>61</v>
      </c>
      <c r="I7" t="s">
        <v>61</v>
      </c>
      <c r="J7" t="s">
        <v>626</v>
      </c>
      <c r="K7" t="s">
        <v>55</v>
      </c>
      <c r="L7" t="s">
        <v>55</v>
      </c>
      <c r="M7" t="s">
        <v>604</v>
      </c>
    </row>
    <row r="8" spans="1:13" ht="14.45" customHeight="1" x14ac:dyDescent="0.25">
      <c r="A8" t="s">
        <v>598</v>
      </c>
      <c r="B8" t="s">
        <v>186</v>
      </c>
      <c r="C8">
        <v>543829</v>
      </c>
      <c r="D8" t="s">
        <v>627</v>
      </c>
      <c r="E8" t="s">
        <v>628</v>
      </c>
      <c r="F8" t="s">
        <v>629</v>
      </c>
      <c r="G8" t="s">
        <v>630</v>
      </c>
      <c r="H8" t="s">
        <v>61</v>
      </c>
      <c r="I8" t="s">
        <v>61</v>
      </c>
      <c r="J8" t="s">
        <v>631</v>
      </c>
      <c r="K8" t="s">
        <v>55</v>
      </c>
      <c r="L8" t="s">
        <v>55</v>
      </c>
      <c r="M8" t="s">
        <v>632</v>
      </c>
    </row>
    <row r="9" spans="1:13" ht="14.45" customHeight="1" x14ac:dyDescent="0.25">
      <c r="A9" t="s">
        <v>598</v>
      </c>
      <c r="B9" t="s">
        <v>186</v>
      </c>
      <c r="C9">
        <v>543629</v>
      </c>
      <c r="D9" t="s">
        <v>633</v>
      </c>
      <c r="E9" t="s">
        <v>634</v>
      </c>
      <c r="F9" t="s">
        <v>635</v>
      </c>
      <c r="G9" t="s">
        <v>636</v>
      </c>
      <c r="H9" t="s">
        <v>61</v>
      </c>
      <c r="I9" t="s">
        <v>61</v>
      </c>
      <c r="J9" t="s">
        <v>637</v>
      </c>
      <c r="K9" t="s">
        <v>55</v>
      </c>
      <c r="L9" t="s">
        <v>55</v>
      </c>
      <c r="M9" t="s">
        <v>638</v>
      </c>
    </row>
    <row r="10" spans="1:13" ht="14.45" customHeight="1" x14ac:dyDescent="0.25">
      <c r="A10" t="s">
        <v>598</v>
      </c>
      <c r="B10" t="s">
        <v>186</v>
      </c>
      <c r="C10">
        <v>543948</v>
      </c>
      <c r="D10" t="s">
        <v>639</v>
      </c>
      <c r="E10" t="s">
        <v>640</v>
      </c>
      <c r="F10" t="s">
        <v>641</v>
      </c>
      <c r="G10" t="s">
        <v>642</v>
      </c>
      <c r="H10" t="s">
        <v>61</v>
      </c>
      <c r="I10" t="s">
        <v>61</v>
      </c>
      <c r="J10" t="s">
        <v>620</v>
      </c>
      <c r="K10" t="s">
        <v>55</v>
      </c>
      <c r="L10" t="s">
        <v>55</v>
      </c>
      <c r="M10" t="s">
        <v>632</v>
      </c>
    </row>
    <row r="11" spans="1:13" ht="14.45" customHeight="1" x14ac:dyDescent="0.25">
      <c r="A11" t="s">
        <v>598</v>
      </c>
      <c r="B11" t="s">
        <v>186</v>
      </c>
      <c r="C11">
        <v>543630</v>
      </c>
      <c r="D11" t="s">
        <v>643</v>
      </c>
      <c r="E11" t="s">
        <v>644</v>
      </c>
      <c r="F11" t="s">
        <v>645</v>
      </c>
      <c r="G11" t="s">
        <v>646</v>
      </c>
      <c r="H11" t="s">
        <v>61</v>
      </c>
      <c r="I11" t="s">
        <v>61</v>
      </c>
      <c r="J11" t="s">
        <v>620</v>
      </c>
      <c r="K11" t="s">
        <v>55</v>
      </c>
      <c r="L11" t="s">
        <v>55</v>
      </c>
      <c r="M11" t="s">
        <v>616</v>
      </c>
    </row>
    <row r="12" spans="1:13" ht="14.45" customHeight="1" x14ac:dyDescent="0.25">
      <c r="A12" t="s">
        <v>598</v>
      </c>
      <c r="B12" t="s">
        <v>186</v>
      </c>
      <c r="C12">
        <v>543888</v>
      </c>
      <c r="D12" t="s">
        <v>647</v>
      </c>
      <c r="E12" t="s">
        <v>648</v>
      </c>
      <c r="F12" t="s">
        <v>649</v>
      </c>
      <c r="G12" t="s">
        <v>650</v>
      </c>
      <c r="H12" t="s">
        <v>61</v>
      </c>
      <c r="I12" t="s">
        <v>61</v>
      </c>
      <c r="J12" t="s">
        <v>620</v>
      </c>
      <c r="K12" t="s">
        <v>55</v>
      </c>
      <c r="L12" t="s">
        <v>55</v>
      </c>
      <c r="M12" t="s">
        <v>651</v>
      </c>
    </row>
    <row r="13" spans="1:13" ht="14.45" customHeight="1" x14ac:dyDescent="0.25">
      <c r="A13" t="s">
        <v>598</v>
      </c>
      <c r="B13" t="s">
        <v>186</v>
      </c>
      <c r="C13">
        <v>543831</v>
      </c>
      <c r="D13" t="s">
        <v>652</v>
      </c>
      <c r="E13" t="s">
        <v>653</v>
      </c>
      <c r="F13" t="s">
        <v>654</v>
      </c>
      <c r="G13" t="s">
        <v>655</v>
      </c>
      <c r="H13" t="s">
        <v>61</v>
      </c>
      <c r="I13" t="s">
        <v>61</v>
      </c>
      <c r="J13" t="s">
        <v>615</v>
      </c>
      <c r="K13" t="s">
        <v>55</v>
      </c>
      <c r="L13" t="s">
        <v>55</v>
      </c>
      <c r="M13" t="s">
        <v>604</v>
      </c>
    </row>
    <row r="14" spans="1:13" ht="14.45" customHeight="1" x14ac:dyDescent="0.25">
      <c r="A14" t="s">
        <v>598</v>
      </c>
      <c r="B14" t="s">
        <v>186</v>
      </c>
      <c r="C14">
        <v>543952</v>
      </c>
      <c r="D14" t="s">
        <v>656</v>
      </c>
      <c r="E14" t="s">
        <v>657</v>
      </c>
      <c r="F14" t="s">
        <v>658</v>
      </c>
      <c r="G14" t="s">
        <v>659</v>
      </c>
      <c r="H14" t="s">
        <v>61</v>
      </c>
      <c r="I14" t="s">
        <v>61</v>
      </c>
      <c r="J14" t="s">
        <v>660</v>
      </c>
      <c r="K14" t="s">
        <v>55</v>
      </c>
      <c r="L14" t="s">
        <v>55</v>
      </c>
      <c r="M14" t="s">
        <v>661</v>
      </c>
    </row>
    <row r="15" spans="1:13" ht="14.45" customHeight="1" x14ac:dyDescent="0.25">
      <c r="A15" t="s">
        <v>598</v>
      </c>
      <c r="B15" t="s">
        <v>186</v>
      </c>
      <c r="C15">
        <v>543836</v>
      </c>
      <c r="D15" t="s">
        <v>662</v>
      </c>
      <c r="E15" t="s">
        <v>663</v>
      </c>
      <c r="F15" t="s">
        <v>664</v>
      </c>
      <c r="G15" t="s">
        <v>665</v>
      </c>
      <c r="H15" t="s">
        <v>61</v>
      </c>
      <c r="I15" t="s">
        <v>61</v>
      </c>
      <c r="J15" t="s">
        <v>620</v>
      </c>
      <c r="K15" t="s">
        <v>55</v>
      </c>
      <c r="L15" t="s">
        <v>55</v>
      </c>
      <c r="M15" t="s">
        <v>597</v>
      </c>
    </row>
    <row r="16" spans="1:13" ht="14.45" customHeight="1" x14ac:dyDescent="0.25">
      <c r="A16" t="s">
        <v>598</v>
      </c>
      <c r="B16" t="s">
        <v>186</v>
      </c>
      <c r="C16">
        <v>543790</v>
      </c>
      <c r="D16" t="s">
        <v>666</v>
      </c>
      <c r="E16" t="s">
        <v>667</v>
      </c>
      <c r="F16" t="s">
        <v>668</v>
      </c>
      <c r="G16" t="s">
        <v>669</v>
      </c>
      <c r="H16" t="s">
        <v>61</v>
      </c>
      <c r="I16" t="s">
        <v>61</v>
      </c>
      <c r="J16" t="s">
        <v>609</v>
      </c>
      <c r="K16" t="s">
        <v>55</v>
      </c>
      <c r="L16" t="s">
        <v>55</v>
      </c>
      <c r="M16" t="s">
        <v>632</v>
      </c>
    </row>
    <row r="17" spans="1:13" ht="14.45" customHeight="1" x14ac:dyDescent="0.25">
      <c r="A17" t="s">
        <v>598</v>
      </c>
      <c r="B17" t="s">
        <v>186</v>
      </c>
      <c r="C17">
        <v>543934</v>
      </c>
      <c r="D17" t="s">
        <v>670</v>
      </c>
      <c r="E17" t="s">
        <v>671</v>
      </c>
      <c r="F17" t="s">
        <v>672</v>
      </c>
      <c r="G17" t="s">
        <v>673</v>
      </c>
      <c r="H17" t="s">
        <v>61</v>
      </c>
      <c r="I17" t="s">
        <v>61</v>
      </c>
      <c r="J17" t="s">
        <v>674</v>
      </c>
      <c r="K17" t="s">
        <v>55</v>
      </c>
      <c r="L17" t="s">
        <v>55</v>
      </c>
      <c r="M17" t="s">
        <v>675</v>
      </c>
    </row>
    <row r="18" spans="1:13" ht="14.45" customHeight="1" x14ac:dyDescent="0.25">
      <c r="A18" t="s">
        <v>598</v>
      </c>
      <c r="B18" t="s">
        <v>186</v>
      </c>
      <c r="C18">
        <v>543937</v>
      </c>
      <c r="D18" t="s">
        <v>676</v>
      </c>
      <c r="E18" t="s">
        <v>612</v>
      </c>
      <c r="F18" t="s">
        <v>677</v>
      </c>
      <c r="G18" t="s">
        <v>678</v>
      </c>
      <c r="H18" t="s">
        <v>61</v>
      </c>
      <c r="I18" t="s">
        <v>61</v>
      </c>
      <c r="J18" t="s">
        <v>637</v>
      </c>
      <c r="K18" t="s">
        <v>55</v>
      </c>
      <c r="L18" t="s">
        <v>55</v>
      </c>
      <c r="M18" t="s">
        <v>616</v>
      </c>
    </row>
    <row r="19" spans="1:13" ht="14.45" customHeight="1" x14ac:dyDescent="0.25">
      <c r="A19" t="s">
        <v>598</v>
      </c>
      <c r="B19" t="s">
        <v>186</v>
      </c>
      <c r="C19">
        <v>543840</v>
      </c>
      <c r="D19" t="s">
        <v>679</v>
      </c>
      <c r="E19" t="s">
        <v>680</v>
      </c>
      <c r="F19" t="s">
        <v>681</v>
      </c>
      <c r="G19" t="s">
        <v>682</v>
      </c>
      <c r="H19" t="s">
        <v>683</v>
      </c>
      <c r="I19" t="s">
        <v>683</v>
      </c>
      <c r="J19" t="s">
        <v>615</v>
      </c>
      <c r="K19" t="s">
        <v>55</v>
      </c>
      <c r="L19" t="s">
        <v>55</v>
      </c>
      <c r="M19" t="s">
        <v>684</v>
      </c>
    </row>
    <row r="20" spans="1:13" ht="14.45" customHeight="1" x14ac:dyDescent="0.25">
      <c r="A20" t="s">
        <v>598</v>
      </c>
      <c r="B20" t="s">
        <v>186</v>
      </c>
      <c r="C20">
        <v>543949</v>
      </c>
      <c r="D20" t="s">
        <v>685</v>
      </c>
      <c r="E20" t="s">
        <v>686</v>
      </c>
      <c r="F20" t="s">
        <v>687</v>
      </c>
      <c r="G20" t="s">
        <v>688</v>
      </c>
      <c r="H20" t="s">
        <v>61</v>
      </c>
      <c r="I20" t="s">
        <v>66</v>
      </c>
      <c r="J20" t="s">
        <v>689</v>
      </c>
      <c r="K20" t="s">
        <v>55</v>
      </c>
      <c r="L20" t="s">
        <v>55</v>
      </c>
      <c r="M20" t="s">
        <v>610</v>
      </c>
    </row>
    <row r="21" spans="1:13" ht="14.45" customHeight="1" x14ac:dyDescent="0.25">
      <c r="A21" t="s">
        <v>598</v>
      </c>
      <c r="B21" t="s">
        <v>186</v>
      </c>
      <c r="C21">
        <v>543932</v>
      </c>
      <c r="D21" t="s">
        <v>690</v>
      </c>
      <c r="E21" t="s">
        <v>691</v>
      </c>
      <c r="F21" t="s">
        <v>692</v>
      </c>
      <c r="G21" t="s">
        <v>693</v>
      </c>
      <c r="H21" t="s">
        <v>61</v>
      </c>
      <c r="I21" t="s">
        <v>61</v>
      </c>
      <c r="J21" t="s">
        <v>615</v>
      </c>
      <c r="K21" t="s">
        <v>55</v>
      </c>
      <c r="L21" t="s">
        <v>55</v>
      </c>
      <c r="M21" t="s">
        <v>694</v>
      </c>
    </row>
    <row r="22" spans="1:13" ht="14.45" customHeight="1" x14ac:dyDescent="0.25">
      <c r="A22" t="s">
        <v>598</v>
      </c>
      <c r="B22" t="s">
        <v>186</v>
      </c>
      <c r="C22">
        <v>543935</v>
      </c>
      <c r="D22" t="s">
        <v>695</v>
      </c>
      <c r="E22" t="s">
        <v>696</v>
      </c>
      <c r="F22" t="s">
        <v>697</v>
      </c>
      <c r="G22" t="s">
        <v>698</v>
      </c>
      <c r="H22" t="s">
        <v>61</v>
      </c>
      <c r="I22" t="s">
        <v>61</v>
      </c>
      <c r="J22" t="s">
        <v>615</v>
      </c>
      <c r="K22" t="s">
        <v>55</v>
      </c>
      <c r="L22" t="s">
        <v>55</v>
      </c>
      <c r="M22" t="s">
        <v>651</v>
      </c>
    </row>
    <row r="23" spans="1:13" ht="14.45" customHeight="1" x14ac:dyDescent="0.25">
      <c r="A23" t="s">
        <v>598</v>
      </c>
      <c r="B23" t="s">
        <v>186</v>
      </c>
      <c r="C23">
        <v>543771</v>
      </c>
      <c r="D23" t="s">
        <v>699</v>
      </c>
      <c r="E23" t="s">
        <v>700</v>
      </c>
      <c r="F23" t="s">
        <v>701</v>
      </c>
      <c r="G23" t="s">
        <v>702</v>
      </c>
      <c r="H23" t="s">
        <v>61</v>
      </c>
      <c r="I23" t="s">
        <v>61</v>
      </c>
      <c r="J23" t="s">
        <v>703</v>
      </c>
      <c r="K23" t="s">
        <v>55</v>
      </c>
      <c r="L23" t="s">
        <v>55</v>
      </c>
      <c r="M23" t="s">
        <v>704</v>
      </c>
    </row>
    <row r="24" spans="1:13" ht="14.45" customHeight="1" x14ac:dyDescent="0.25">
      <c r="A24" t="s">
        <v>705</v>
      </c>
      <c r="B24" t="s">
        <v>186</v>
      </c>
      <c r="C24">
        <v>543832</v>
      </c>
      <c r="D24" t="s">
        <v>706</v>
      </c>
      <c r="E24" t="s">
        <v>707</v>
      </c>
      <c r="F24" t="s">
        <v>708</v>
      </c>
      <c r="G24" t="s">
        <v>709</v>
      </c>
      <c r="H24" t="s">
        <v>61</v>
      </c>
      <c r="I24" t="s">
        <v>61</v>
      </c>
      <c r="J24" t="s">
        <v>710</v>
      </c>
      <c r="K24" t="s">
        <v>55</v>
      </c>
      <c r="L24" t="s">
        <v>55</v>
      </c>
      <c r="M24" t="s">
        <v>604</v>
      </c>
    </row>
    <row r="25" spans="1:13" ht="14.45" customHeight="1" x14ac:dyDescent="0.25">
      <c r="A25" t="s">
        <v>705</v>
      </c>
      <c r="B25" t="s">
        <v>186</v>
      </c>
      <c r="C25">
        <v>543933</v>
      </c>
      <c r="D25" t="s">
        <v>711</v>
      </c>
      <c r="E25" t="s">
        <v>712</v>
      </c>
      <c r="F25" t="s">
        <v>713</v>
      </c>
      <c r="G25" t="s">
        <v>714</v>
      </c>
      <c r="H25" t="s">
        <v>61</v>
      </c>
      <c r="I25" t="s">
        <v>61</v>
      </c>
      <c r="J25" t="s">
        <v>715</v>
      </c>
      <c r="K25" t="s">
        <v>55</v>
      </c>
      <c r="L25" t="s">
        <v>55</v>
      </c>
      <c r="M25" t="s">
        <v>651</v>
      </c>
    </row>
    <row r="26" spans="1:13" ht="14.45" customHeight="1" x14ac:dyDescent="0.25">
      <c r="A26" t="s">
        <v>705</v>
      </c>
      <c r="B26" t="s">
        <v>186</v>
      </c>
      <c r="C26">
        <v>543927</v>
      </c>
      <c r="D26" t="s">
        <v>716</v>
      </c>
      <c r="E26" t="s">
        <v>717</v>
      </c>
      <c r="F26" t="s">
        <v>718</v>
      </c>
      <c r="G26" t="s">
        <v>719</v>
      </c>
      <c r="H26" t="s">
        <v>61</v>
      </c>
      <c r="I26" t="s">
        <v>61</v>
      </c>
      <c r="J26" t="s">
        <v>720</v>
      </c>
      <c r="K26" t="s">
        <v>55</v>
      </c>
      <c r="L26" t="s">
        <v>55</v>
      </c>
      <c r="M26" t="s">
        <v>721</v>
      </c>
    </row>
    <row r="27" spans="1:13" ht="14.45" customHeight="1" x14ac:dyDescent="0.25">
      <c r="A27" t="s">
        <v>705</v>
      </c>
      <c r="B27" t="s">
        <v>186</v>
      </c>
      <c r="C27">
        <v>543951</v>
      </c>
      <c r="D27" t="s">
        <v>722</v>
      </c>
      <c r="E27" t="s">
        <v>723</v>
      </c>
      <c r="F27" t="s">
        <v>724</v>
      </c>
      <c r="G27" t="s">
        <v>725</v>
      </c>
      <c r="H27" t="s">
        <v>64</v>
      </c>
      <c r="I27" t="s">
        <v>64</v>
      </c>
      <c r="J27" t="s">
        <v>620</v>
      </c>
      <c r="K27" t="s">
        <v>55</v>
      </c>
      <c r="L27" t="s">
        <v>55</v>
      </c>
      <c r="M27" t="s">
        <v>610</v>
      </c>
    </row>
    <row r="28" spans="1:13" ht="14.45" customHeight="1" x14ac:dyDescent="0.25">
      <c r="A28" t="s">
        <v>705</v>
      </c>
      <c r="B28" t="s">
        <v>186</v>
      </c>
      <c r="C28">
        <v>543595</v>
      </c>
      <c r="D28" t="s">
        <v>726</v>
      </c>
      <c r="E28" t="s">
        <v>727</v>
      </c>
      <c r="F28" t="s">
        <v>728</v>
      </c>
      <c r="G28" t="s">
        <v>729</v>
      </c>
      <c r="H28" t="s">
        <v>61</v>
      </c>
      <c r="I28" t="s">
        <v>61</v>
      </c>
      <c r="J28" t="s">
        <v>730</v>
      </c>
      <c r="K28" t="s">
        <v>55</v>
      </c>
      <c r="L28" t="s">
        <v>55</v>
      </c>
      <c r="M28" t="s">
        <v>661</v>
      </c>
    </row>
    <row r="29" spans="1:13" ht="14.45" customHeight="1" x14ac:dyDescent="0.25">
      <c r="A29" t="s">
        <v>705</v>
      </c>
      <c r="B29" t="s">
        <v>186</v>
      </c>
      <c r="C29">
        <v>543936</v>
      </c>
      <c r="D29" t="s">
        <v>731</v>
      </c>
      <c r="E29" t="s">
        <v>732</v>
      </c>
      <c r="F29" t="s">
        <v>733</v>
      </c>
      <c r="G29" t="s">
        <v>734</v>
      </c>
      <c r="H29" t="s">
        <v>64</v>
      </c>
      <c r="I29" t="s">
        <v>64</v>
      </c>
      <c r="J29" t="s">
        <v>603</v>
      </c>
      <c r="K29" t="s">
        <v>55</v>
      </c>
      <c r="L29" t="s">
        <v>55</v>
      </c>
      <c r="M29" t="s">
        <v>621</v>
      </c>
    </row>
    <row r="30" spans="1:13" ht="14.45" customHeight="1" x14ac:dyDescent="0.25">
      <c r="A30" t="s">
        <v>705</v>
      </c>
      <c r="B30" t="s">
        <v>186</v>
      </c>
      <c r="C30">
        <v>543950</v>
      </c>
      <c r="D30" t="s">
        <v>735</v>
      </c>
      <c r="E30" t="s">
        <v>736</v>
      </c>
      <c r="F30" t="s">
        <v>737</v>
      </c>
      <c r="G30" t="s">
        <v>738</v>
      </c>
      <c r="H30" t="s">
        <v>61</v>
      </c>
      <c r="I30" t="s">
        <v>61</v>
      </c>
      <c r="J30" t="s">
        <v>631</v>
      </c>
      <c r="K30" t="s">
        <v>55</v>
      </c>
      <c r="L30" t="s">
        <v>55</v>
      </c>
      <c r="M30" t="s">
        <v>621</v>
      </c>
    </row>
    <row r="31" spans="1:13" ht="15" customHeight="1" x14ac:dyDescent="0.25">
      <c r="A31" t="s">
        <v>739</v>
      </c>
      <c r="B31" t="s">
        <v>199</v>
      </c>
      <c r="C31">
        <v>542382</v>
      </c>
      <c r="D31" t="s">
        <v>740</v>
      </c>
      <c r="E31" t="s">
        <v>741</v>
      </c>
      <c r="F31" t="s">
        <v>742</v>
      </c>
      <c r="G31" t="s">
        <v>743</v>
      </c>
      <c r="H31" t="s">
        <v>744</v>
      </c>
      <c r="I31" t="s">
        <v>560</v>
      </c>
      <c r="J31" t="s">
        <v>660</v>
      </c>
      <c r="K31" t="s">
        <v>55</v>
      </c>
      <c r="L31" t="s">
        <v>55</v>
      </c>
      <c r="M31" t="s">
        <v>745</v>
      </c>
    </row>
    <row r="32" spans="1:13" ht="15" customHeight="1" x14ac:dyDescent="0.25">
      <c r="A32" t="s">
        <v>739</v>
      </c>
      <c r="B32" t="s">
        <v>199</v>
      </c>
      <c r="C32">
        <v>543650</v>
      </c>
      <c r="D32" t="s">
        <v>746</v>
      </c>
      <c r="E32" t="s">
        <v>747</v>
      </c>
      <c r="F32" t="s">
        <v>748</v>
      </c>
      <c r="G32" t="s">
        <v>749</v>
      </c>
      <c r="H32" t="s">
        <v>750</v>
      </c>
      <c r="I32" t="s">
        <v>560</v>
      </c>
      <c r="J32" t="s">
        <v>751</v>
      </c>
      <c r="K32" t="s">
        <v>55</v>
      </c>
      <c r="L32" t="s">
        <v>55</v>
      </c>
      <c r="M32" t="s">
        <v>752</v>
      </c>
    </row>
    <row r="33" spans="1:13" ht="15" customHeight="1" x14ac:dyDescent="0.25">
      <c r="A33" t="s">
        <v>739</v>
      </c>
      <c r="B33" t="s">
        <v>199</v>
      </c>
      <c r="C33">
        <v>542246</v>
      </c>
      <c r="D33" t="s">
        <v>753</v>
      </c>
      <c r="E33" t="s">
        <v>754</v>
      </c>
      <c r="F33" t="s">
        <v>755</v>
      </c>
      <c r="G33" t="s">
        <v>756</v>
      </c>
      <c r="H33" t="s">
        <v>757</v>
      </c>
      <c r="I33" t="s">
        <v>560</v>
      </c>
      <c r="J33" t="s">
        <v>626</v>
      </c>
      <c r="K33" t="s">
        <v>55</v>
      </c>
      <c r="L33" t="s">
        <v>55</v>
      </c>
      <c r="M33" t="s">
        <v>758</v>
      </c>
    </row>
    <row r="34" spans="1:13" ht="15" customHeight="1" x14ac:dyDescent="0.25">
      <c r="A34" t="s">
        <v>739</v>
      </c>
      <c r="B34" t="s">
        <v>199</v>
      </c>
      <c r="C34">
        <v>542365</v>
      </c>
      <c r="D34" t="s">
        <v>759</v>
      </c>
      <c r="E34" t="s">
        <v>760</v>
      </c>
      <c r="F34" t="s">
        <v>761</v>
      </c>
      <c r="G34" t="s">
        <v>762</v>
      </c>
      <c r="H34" t="s">
        <v>763</v>
      </c>
      <c r="I34" t="s">
        <v>560</v>
      </c>
      <c r="J34" t="s">
        <v>764</v>
      </c>
      <c r="K34" t="s">
        <v>55</v>
      </c>
      <c r="L34" t="s">
        <v>55</v>
      </c>
      <c r="M34" t="s">
        <v>765</v>
      </c>
    </row>
    <row r="35" spans="1:13" ht="15" customHeight="1" x14ac:dyDescent="0.25">
      <c r="A35" t="s">
        <v>739</v>
      </c>
      <c r="B35" t="s">
        <v>199</v>
      </c>
      <c r="C35">
        <v>542235</v>
      </c>
      <c r="D35" t="s">
        <v>766</v>
      </c>
      <c r="E35" t="s">
        <v>767</v>
      </c>
      <c r="F35" t="s">
        <v>768</v>
      </c>
      <c r="G35" t="s">
        <v>769</v>
      </c>
      <c r="H35" t="s">
        <v>558</v>
      </c>
      <c r="I35" t="s">
        <v>560</v>
      </c>
      <c r="J35" t="s">
        <v>770</v>
      </c>
      <c r="K35" t="s">
        <v>55</v>
      </c>
      <c r="L35" t="s">
        <v>55</v>
      </c>
      <c r="M35" t="s">
        <v>771</v>
      </c>
    </row>
    <row r="36" spans="1:13" ht="15" customHeight="1" x14ac:dyDescent="0.25">
      <c r="A36" t="s">
        <v>739</v>
      </c>
      <c r="B36" t="s">
        <v>199</v>
      </c>
      <c r="C36">
        <v>542300</v>
      </c>
      <c r="D36" t="s">
        <v>772</v>
      </c>
      <c r="E36" t="s">
        <v>773</v>
      </c>
      <c r="F36" t="s">
        <v>774</v>
      </c>
      <c r="G36" t="s">
        <v>775</v>
      </c>
      <c r="H36" t="s">
        <v>776</v>
      </c>
      <c r="I36" t="s">
        <v>560</v>
      </c>
      <c r="J36" t="s">
        <v>777</v>
      </c>
      <c r="K36" t="s">
        <v>55</v>
      </c>
      <c r="L36" t="s">
        <v>55</v>
      </c>
      <c r="M36" t="s">
        <v>778</v>
      </c>
    </row>
    <row r="37" spans="1:13" ht="15" customHeight="1" x14ac:dyDescent="0.25">
      <c r="A37" t="s">
        <v>739</v>
      </c>
      <c r="B37" t="s">
        <v>199</v>
      </c>
      <c r="C37">
        <v>542316</v>
      </c>
      <c r="D37" t="s">
        <v>779</v>
      </c>
      <c r="E37" t="s">
        <v>780</v>
      </c>
      <c r="F37" t="s">
        <v>781</v>
      </c>
      <c r="G37" t="s">
        <v>782</v>
      </c>
      <c r="H37" t="s">
        <v>576</v>
      </c>
      <c r="I37" t="s">
        <v>560</v>
      </c>
      <c r="J37" t="s">
        <v>615</v>
      </c>
      <c r="K37" t="s">
        <v>55</v>
      </c>
      <c r="L37" t="s">
        <v>55</v>
      </c>
      <c r="M37" t="s">
        <v>778</v>
      </c>
    </row>
    <row r="38" spans="1:13" ht="15" customHeight="1" x14ac:dyDescent="0.25">
      <c r="A38" t="s">
        <v>739</v>
      </c>
      <c r="B38" t="s">
        <v>199</v>
      </c>
      <c r="C38">
        <v>542396</v>
      </c>
      <c r="D38" t="s">
        <v>783</v>
      </c>
      <c r="E38" t="s">
        <v>784</v>
      </c>
      <c r="F38" t="s">
        <v>785</v>
      </c>
      <c r="G38" t="s">
        <v>786</v>
      </c>
      <c r="H38" t="s">
        <v>757</v>
      </c>
      <c r="I38" t="s">
        <v>560</v>
      </c>
      <c r="J38" t="s">
        <v>615</v>
      </c>
      <c r="K38" t="s">
        <v>55</v>
      </c>
      <c r="L38" t="s">
        <v>55</v>
      </c>
      <c r="M38" t="s">
        <v>787</v>
      </c>
    </row>
    <row r="39" spans="1:13" ht="15" customHeight="1" x14ac:dyDescent="0.25">
      <c r="A39" t="s">
        <v>739</v>
      </c>
      <c r="B39" t="s">
        <v>199</v>
      </c>
      <c r="C39">
        <v>542374</v>
      </c>
      <c r="D39" t="s">
        <v>788</v>
      </c>
      <c r="E39" t="s">
        <v>789</v>
      </c>
      <c r="F39" t="s">
        <v>790</v>
      </c>
      <c r="G39" t="s">
        <v>791</v>
      </c>
      <c r="H39" t="s">
        <v>792</v>
      </c>
      <c r="I39" t="s">
        <v>560</v>
      </c>
      <c r="J39" t="s">
        <v>689</v>
      </c>
      <c r="K39" t="s">
        <v>55</v>
      </c>
      <c r="L39" t="s">
        <v>55</v>
      </c>
      <c r="M39" t="s">
        <v>765</v>
      </c>
    </row>
    <row r="40" spans="1:13" ht="15" customHeight="1" x14ac:dyDescent="0.25">
      <c r="A40" t="s">
        <v>739</v>
      </c>
      <c r="B40" t="s">
        <v>199</v>
      </c>
      <c r="C40">
        <v>543049</v>
      </c>
      <c r="D40" t="s">
        <v>793</v>
      </c>
      <c r="E40" t="s">
        <v>794</v>
      </c>
      <c r="F40" t="s">
        <v>795</v>
      </c>
      <c r="G40" t="s">
        <v>796</v>
      </c>
      <c r="H40" t="s">
        <v>757</v>
      </c>
      <c r="I40" t="s">
        <v>560</v>
      </c>
      <c r="J40" t="s">
        <v>797</v>
      </c>
      <c r="K40" t="s">
        <v>55</v>
      </c>
      <c r="L40" t="s">
        <v>55</v>
      </c>
      <c r="M40" t="s">
        <v>798</v>
      </c>
    </row>
    <row r="41" spans="1:13" ht="15" customHeight="1" x14ac:dyDescent="0.25">
      <c r="A41" t="s">
        <v>739</v>
      </c>
      <c r="B41" t="s">
        <v>199</v>
      </c>
      <c r="C41">
        <v>542312</v>
      </c>
      <c r="D41" t="s">
        <v>799</v>
      </c>
      <c r="E41" t="s">
        <v>800</v>
      </c>
      <c r="F41" t="s">
        <v>801</v>
      </c>
      <c r="G41" t="s">
        <v>802</v>
      </c>
      <c r="H41" t="s">
        <v>803</v>
      </c>
      <c r="I41" t="s">
        <v>560</v>
      </c>
      <c r="J41" t="s">
        <v>596</v>
      </c>
      <c r="K41" t="s">
        <v>55</v>
      </c>
      <c r="L41" t="s">
        <v>55</v>
      </c>
      <c r="M41" t="s">
        <v>804</v>
      </c>
    </row>
    <row r="42" spans="1:13" ht="15" customHeight="1" x14ac:dyDescent="0.25">
      <c r="A42" t="s">
        <v>739</v>
      </c>
      <c r="B42" t="s">
        <v>199</v>
      </c>
      <c r="C42">
        <v>542392</v>
      </c>
      <c r="D42" t="s">
        <v>805</v>
      </c>
      <c r="E42" t="s">
        <v>806</v>
      </c>
      <c r="F42" t="s">
        <v>807</v>
      </c>
      <c r="G42" t="s">
        <v>808</v>
      </c>
      <c r="H42" t="s">
        <v>757</v>
      </c>
      <c r="I42" t="s">
        <v>560</v>
      </c>
      <c r="J42" t="s">
        <v>809</v>
      </c>
      <c r="K42" t="s">
        <v>55</v>
      </c>
      <c r="L42" t="s">
        <v>55</v>
      </c>
      <c r="M42" t="s">
        <v>810</v>
      </c>
    </row>
    <row r="43" spans="1:13" ht="15" customHeight="1" x14ac:dyDescent="0.25">
      <c r="A43" t="s">
        <v>739</v>
      </c>
      <c r="B43" t="s">
        <v>199</v>
      </c>
      <c r="C43">
        <v>542322</v>
      </c>
      <c r="D43" t="s">
        <v>811</v>
      </c>
      <c r="E43" t="s">
        <v>812</v>
      </c>
      <c r="F43" t="s">
        <v>813</v>
      </c>
      <c r="G43" t="s">
        <v>814</v>
      </c>
      <c r="H43" t="s">
        <v>558</v>
      </c>
      <c r="I43" t="s">
        <v>560</v>
      </c>
      <c r="J43" t="s">
        <v>615</v>
      </c>
      <c r="K43" t="s">
        <v>55</v>
      </c>
      <c r="L43" t="s">
        <v>55</v>
      </c>
      <c r="M43" t="s">
        <v>815</v>
      </c>
    </row>
    <row r="44" spans="1:13" ht="15" customHeight="1" x14ac:dyDescent="0.25">
      <c r="A44" t="s">
        <v>739</v>
      </c>
      <c r="B44" t="s">
        <v>199</v>
      </c>
      <c r="C44">
        <v>542326</v>
      </c>
      <c r="D44" t="s">
        <v>575</v>
      </c>
      <c r="E44" t="s">
        <v>816</v>
      </c>
      <c r="F44" t="s">
        <v>577</v>
      </c>
      <c r="G44" t="s">
        <v>817</v>
      </c>
      <c r="H44" t="s">
        <v>576</v>
      </c>
      <c r="I44" t="s">
        <v>560</v>
      </c>
      <c r="J44" t="s">
        <v>777</v>
      </c>
      <c r="K44" t="s">
        <v>55</v>
      </c>
      <c r="L44" t="s">
        <v>55</v>
      </c>
      <c r="M44" t="s">
        <v>818</v>
      </c>
    </row>
    <row r="45" spans="1:13" ht="15" customHeight="1" x14ac:dyDescent="0.25">
      <c r="A45" t="s">
        <v>739</v>
      </c>
      <c r="B45" t="s">
        <v>199</v>
      </c>
      <c r="C45">
        <v>542348</v>
      </c>
      <c r="D45" t="s">
        <v>819</v>
      </c>
      <c r="E45" t="s">
        <v>820</v>
      </c>
      <c r="F45" t="s">
        <v>821</v>
      </c>
      <c r="G45" t="s">
        <v>822</v>
      </c>
      <c r="H45" t="s">
        <v>576</v>
      </c>
      <c r="I45" t="s">
        <v>560</v>
      </c>
      <c r="J45" t="s">
        <v>823</v>
      </c>
      <c r="K45" t="s">
        <v>55</v>
      </c>
      <c r="L45" t="s">
        <v>55</v>
      </c>
      <c r="M45" t="s">
        <v>752</v>
      </c>
    </row>
    <row r="46" spans="1:13" ht="15" customHeight="1" x14ac:dyDescent="0.25">
      <c r="A46" t="s">
        <v>739</v>
      </c>
      <c r="B46" t="s">
        <v>199</v>
      </c>
      <c r="C46">
        <v>542288</v>
      </c>
      <c r="D46" t="s">
        <v>819</v>
      </c>
      <c r="E46" t="s">
        <v>824</v>
      </c>
      <c r="F46" t="s">
        <v>825</v>
      </c>
      <c r="G46" t="s">
        <v>826</v>
      </c>
      <c r="H46" t="s">
        <v>576</v>
      </c>
      <c r="I46" t="s">
        <v>560</v>
      </c>
      <c r="J46" t="s">
        <v>770</v>
      </c>
      <c r="K46" t="s">
        <v>55</v>
      </c>
      <c r="L46" t="s">
        <v>55</v>
      </c>
      <c r="M46" t="s">
        <v>827</v>
      </c>
    </row>
    <row r="47" spans="1:13" ht="15" customHeight="1" x14ac:dyDescent="0.25">
      <c r="A47" t="s">
        <v>739</v>
      </c>
      <c r="B47" t="s">
        <v>199</v>
      </c>
      <c r="C47">
        <v>542323</v>
      </c>
      <c r="D47" t="s">
        <v>828</v>
      </c>
      <c r="E47" t="s">
        <v>829</v>
      </c>
      <c r="F47" t="s">
        <v>830</v>
      </c>
      <c r="G47" t="s">
        <v>831</v>
      </c>
      <c r="H47" t="s">
        <v>567</v>
      </c>
      <c r="I47" t="s">
        <v>560</v>
      </c>
      <c r="J47" t="s">
        <v>603</v>
      </c>
      <c r="K47" t="s">
        <v>55</v>
      </c>
      <c r="L47" t="s">
        <v>55</v>
      </c>
      <c r="M47" t="s">
        <v>810</v>
      </c>
    </row>
    <row r="48" spans="1:13" ht="15" customHeight="1" x14ac:dyDescent="0.25">
      <c r="A48" t="s">
        <v>739</v>
      </c>
      <c r="B48" t="s">
        <v>199</v>
      </c>
      <c r="C48">
        <v>542393</v>
      </c>
      <c r="D48" t="s">
        <v>557</v>
      </c>
      <c r="E48" t="s">
        <v>832</v>
      </c>
      <c r="F48" t="s">
        <v>559</v>
      </c>
      <c r="G48" t="s">
        <v>833</v>
      </c>
      <c r="H48" t="s">
        <v>558</v>
      </c>
      <c r="I48" t="s">
        <v>560</v>
      </c>
      <c r="J48" t="s">
        <v>615</v>
      </c>
      <c r="K48" t="s">
        <v>55</v>
      </c>
      <c r="L48" t="s">
        <v>55</v>
      </c>
      <c r="M48" t="s">
        <v>834</v>
      </c>
    </row>
    <row r="49" spans="1:13" ht="15" customHeight="1" x14ac:dyDescent="0.25">
      <c r="A49" t="s">
        <v>739</v>
      </c>
      <c r="B49" t="s">
        <v>199</v>
      </c>
      <c r="C49">
        <v>542319</v>
      </c>
      <c r="D49" t="s">
        <v>835</v>
      </c>
      <c r="E49" t="s">
        <v>836</v>
      </c>
      <c r="F49" t="s">
        <v>837</v>
      </c>
      <c r="G49" t="s">
        <v>838</v>
      </c>
      <c r="H49" t="s">
        <v>792</v>
      </c>
      <c r="I49" t="s">
        <v>560</v>
      </c>
      <c r="J49" t="s">
        <v>603</v>
      </c>
      <c r="K49" t="s">
        <v>55</v>
      </c>
      <c r="L49" t="s">
        <v>55</v>
      </c>
      <c r="M49" t="s">
        <v>752</v>
      </c>
    </row>
    <row r="50" spans="1:13" ht="15" customHeight="1" x14ac:dyDescent="0.25">
      <c r="A50" t="s">
        <v>739</v>
      </c>
      <c r="B50" t="s">
        <v>199</v>
      </c>
      <c r="C50">
        <v>542314</v>
      </c>
      <c r="D50" t="s">
        <v>839</v>
      </c>
      <c r="E50" t="s">
        <v>840</v>
      </c>
      <c r="F50" t="s">
        <v>841</v>
      </c>
      <c r="G50" t="s">
        <v>842</v>
      </c>
      <c r="H50" t="s">
        <v>757</v>
      </c>
      <c r="I50" t="s">
        <v>560</v>
      </c>
      <c r="J50" t="s">
        <v>843</v>
      </c>
      <c r="K50" t="s">
        <v>55</v>
      </c>
      <c r="L50" t="s">
        <v>55</v>
      </c>
      <c r="M50" t="s">
        <v>844</v>
      </c>
    </row>
    <row r="51" spans="1:13" ht="15" customHeight="1" x14ac:dyDescent="0.25">
      <c r="A51" t="s">
        <v>739</v>
      </c>
      <c r="B51" t="s">
        <v>199</v>
      </c>
      <c r="C51">
        <v>542412</v>
      </c>
      <c r="D51" t="s">
        <v>845</v>
      </c>
      <c r="E51" t="s">
        <v>846</v>
      </c>
      <c r="F51" t="s">
        <v>847</v>
      </c>
      <c r="G51" t="s">
        <v>848</v>
      </c>
      <c r="H51" t="s">
        <v>849</v>
      </c>
      <c r="I51" t="s">
        <v>560</v>
      </c>
      <c r="J51" t="s">
        <v>850</v>
      </c>
      <c r="K51" t="s">
        <v>55</v>
      </c>
      <c r="L51" t="s">
        <v>55</v>
      </c>
      <c r="M51" t="s">
        <v>765</v>
      </c>
    </row>
    <row r="52" spans="1:13" ht="15" customHeight="1" x14ac:dyDescent="0.25">
      <c r="A52" t="s">
        <v>739</v>
      </c>
      <c r="B52" t="s">
        <v>199</v>
      </c>
      <c r="C52">
        <v>542354</v>
      </c>
      <c r="D52" t="s">
        <v>570</v>
      </c>
      <c r="E52" t="s">
        <v>851</v>
      </c>
      <c r="F52" t="s">
        <v>572</v>
      </c>
      <c r="G52" t="s">
        <v>852</v>
      </c>
      <c r="H52" t="s">
        <v>571</v>
      </c>
      <c r="I52" t="s">
        <v>560</v>
      </c>
      <c r="J52" t="s">
        <v>853</v>
      </c>
      <c r="K52" t="s">
        <v>55</v>
      </c>
      <c r="L52" t="s">
        <v>55</v>
      </c>
      <c r="M52" t="s">
        <v>854</v>
      </c>
    </row>
    <row r="53" spans="1:13" ht="15" customHeight="1" x14ac:dyDescent="0.25">
      <c r="A53" t="s">
        <v>739</v>
      </c>
      <c r="B53" t="s">
        <v>199</v>
      </c>
      <c r="C53">
        <v>542306</v>
      </c>
      <c r="D53" t="s">
        <v>855</v>
      </c>
      <c r="E53" t="s">
        <v>856</v>
      </c>
      <c r="F53" t="s">
        <v>857</v>
      </c>
      <c r="G53" t="s">
        <v>858</v>
      </c>
      <c r="H53" t="s">
        <v>744</v>
      </c>
      <c r="I53" t="s">
        <v>560</v>
      </c>
      <c r="J53" t="s">
        <v>859</v>
      </c>
      <c r="K53" t="s">
        <v>55</v>
      </c>
      <c r="L53" t="s">
        <v>55</v>
      </c>
      <c r="M53" t="s">
        <v>778</v>
      </c>
    </row>
    <row r="54" spans="1:13" ht="15" customHeight="1" x14ac:dyDescent="0.25">
      <c r="A54" t="s">
        <v>739</v>
      </c>
      <c r="B54" t="s">
        <v>199</v>
      </c>
      <c r="C54">
        <v>542298</v>
      </c>
      <c r="D54" t="s">
        <v>860</v>
      </c>
      <c r="E54" t="s">
        <v>861</v>
      </c>
      <c r="F54" t="s">
        <v>862</v>
      </c>
      <c r="G54" t="s">
        <v>863</v>
      </c>
      <c r="H54" t="s">
        <v>576</v>
      </c>
      <c r="I54" t="s">
        <v>560</v>
      </c>
      <c r="J54" t="s">
        <v>603</v>
      </c>
      <c r="K54" t="s">
        <v>55</v>
      </c>
      <c r="L54" t="s">
        <v>55</v>
      </c>
      <c r="M54" t="s">
        <v>864</v>
      </c>
    </row>
    <row r="55" spans="1:13" ht="15" customHeight="1" x14ac:dyDescent="0.25">
      <c r="A55" t="s">
        <v>739</v>
      </c>
      <c r="B55" t="s">
        <v>199</v>
      </c>
      <c r="C55">
        <v>542376</v>
      </c>
      <c r="D55" t="s">
        <v>865</v>
      </c>
      <c r="E55" t="s">
        <v>832</v>
      </c>
      <c r="F55" t="s">
        <v>866</v>
      </c>
      <c r="G55" t="s">
        <v>867</v>
      </c>
      <c r="H55" t="s">
        <v>792</v>
      </c>
      <c r="I55" t="s">
        <v>560</v>
      </c>
      <c r="J55" t="s">
        <v>615</v>
      </c>
      <c r="K55" t="s">
        <v>55</v>
      </c>
      <c r="L55" t="s">
        <v>55</v>
      </c>
      <c r="M55" t="s">
        <v>765</v>
      </c>
    </row>
    <row r="56" spans="1:13" ht="15" customHeight="1" x14ac:dyDescent="0.25">
      <c r="A56" t="s">
        <v>739</v>
      </c>
      <c r="B56" t="s">
        <v>199</v>
      </c>
      <c r="C56">
        <v>542490</v>
      </c>
      <c r="D56" t="s">
        <v>868</v>
      </c>
      <c r="E56" t="s">
        <v>869</v>
      </c>
      <c r="F56" t="s">
        <v>870</v>
      </c>
      <c r="G56" t="s">
        <v>871</v>
      </c>
      <c r="H56" t="s">
        <v>571</v>
      </c>
      <c r="I56" t="s">
        <v>560</v>
      </c>
      <c r="J56" t="s">
        <v>603</v>
      </c>
      <c r="K56" t="s">
        <v>55</v>
      </c>
      <c r="L56" t="s">
        <v>55</v>
      </c>
      <c r="M56" t="s">
        <v>765</v>
      </c>
    </row>
    <row r="57" spans="1:13" ht="15" customHeight="1" x14ac:dyDescent="0.25">
      <c r="A57" t="s">
        <v>739</v>
      </c>
      <c r="B57" t="s">
        <v>199</v>
      </c>
      <c r="C57">
        <v>542409</v>
      </c>
      <c r="D57" t="s">
        <v>872</v>
      </c>
      <c r="E57" t="s">
        <v>873</v>
      </c>
      <c r="F57" t="s">
        <v>874</v>
      </c>
      <c r="G57" t="s">
        <v>875</v>
      </c>
      <c r="H57" t="s">
        <v>576</v>
      </c>
      <c r="I57" t="s">
        <v>560</v>
      </c>
      <c r="J57" t="s">
        <v>615</v>
      </c>
      <c r="K57" t="s">
        <v>55</v>
      </c>
      <c r="L57" t="s">
        <v>55</v>
      </c>
      <c r="M57" t="s">
        <v>815</v>
      </c>
    </row>
    <row r="58" spans="1:13" ht="15" customHeight="1" x14ac:dyDescent="0.25">
      <c r="A58" t="s">
        <v>739</v>
      </c>
      <c r="B58" t="s">
        <v>199</v>
      </c>
      <c r="C58">
        <v>542411</v>
      </c>
      <c r="D58" t="s">
        <v>876</v>
      </c>
      <c r="E58" t="s">
        <v>877</v>
      </c>
      <c r="F58" t="s">
        <v>878</v>
      </c>
      <c r="G58" t="s">
        <v>879</v>
      </c>
      <c r="H58" t="s">
        <v>849</v>
      </c>
      <c r="I58" t="s">
        <v>560</v>
      </c>
      <c r="J58" t="s">
        <v>626</v>
      </c>
      <c r="K58" t="s">
        <v>55</v>
      </c>
      <c r="L58" t="s">
        <v>55</v>
      </c>
      <c r="M58" t="s">
        <v>745</v>
      </c>
    </row>
    <row r="59" spans="1:13" ht="15" customHeight="1" x14ac:dyDescent="0.25">
      <c r="A59" t="s">
        <v>739</v>
      </c>
      <c r="B59" t="s">
        <v>199</v>
      </c>
      <c r="C59">
        <v>542395</v>
      </c>
      <c r="D59" t="s">
        <v>880</v>
      </c>
      <c r="E59" t="s">
        <v>881</v>
      </c>
      <c r="F59" t="s">
        <v>882</v>
      </c>
      <c r="G59" t="s">
        <v>883</v>
      </c>
      <c r="H59" t="s">
        <v>558</v>
      </c>
      <c r="I59" t="s">
        <v>560</v>
      </c>
      <c r="J59" t="s">
        <v>823</v>
      </c>
      <c r="K59" t="s">
        <v>55</v>
      </c>
      <c r="L59" t="s">
        <v>55</v>
      </c>
      <c r="M59" t="s">
        <v>884</v>
      </c>
    </row>
    <row r="60" spans="1:13" ht="15" customHeight="1" x14ac:dyDescent="0.25">
      <c r="A60" t="s">
        <v>739</v>
      </c>
      <c r="B60" t="s">
        <v>199</v>
      </c>
      <c r="C60">
        <v>542377</v>
      </c>
      <c r="D60" t="s">
        <v>885</v>
      </c>
      <c r="E60" t="s">
        <v>886</v>
      </c>
      <c r="F60" t="s">
        <v>887</v>
      </c>
      <c r="G60" t="s">
        <v>888</v>
      </c>
      <c r="H60" t="s">
        <v>889</v>
      </c>
      <c r="I60" t="s">
        <v>560</v>
      </c>
      <c r="J60" t="s">
        <v>603</v>
      </c>
      <c r="K60" t="s">
        <v>55</v>
      </c>
      <c r="L60" t="s">
        <v>55</v>
      </c>
      <c r="M60" t="s">
        <v>884</v>
      </c>
    </row>
    <row r="61" spans="1:13" ht="15" customHeight="1" x14ac:dyDescent="0.25">
      <c r="A61" t="s">
        <v>739</v>
      </c>
      <c r="B61" t="s">
        <v>199</v>
      </c>
      <c r="C61">
        <v>542383</v>
      </c>
      <c r="D61" t="s">
        <v>890</v>
      </c>
      <c r="E61" t="s">
        <v>891</v>
      </c>
      <c r="F61" t="s">
        <v>892</v>
      </c>
      <c r="G61" t="s">
        <v>893</v>
      </c>
      <c r="H61" t="s">
        <v>803</v>
      </c>
      <c r="I61" t="s">
        <v>560</v>
      </c>
      <c r="J61" t="s">
        <v>660</v>
      </c>
      <c r="K61" t="s">
        <v>55</v>
      </c>
      <c r="L61" t="s">
        <v>55</v>
      </c>
      <c r="M61" t="s">
        <v>765</v>
      </c>
    </row>
    <row r="62" spans="1:13" ht="15" customHeight="1" x14ac:dyDescent="0.25">
      <c r="A62" t="s">
        <v>739</v>
      </c>
      <c r="B62" t="s">
        <v>199</v>
      </c>
      <c r="C62">
        <v>542305</v>
      </c>
      <c r="D62" t="s">
        <v>894</v>
      </c>
      <c r="E62" t="s">
        <v>895</v>
      </c>
      <c r="F62" t="s">
        <v>896</v>
      </c>
      <c r="G62" t="s">
        <v>897</v>
      </c>
      <c r="H62" t="s">
        <v>898</v>
      </c>
      <c r="I62" t="s">
        <v>560</v>
      </c>
      <c r="J62" t="s">
        <v>615</v>
      </c>
      <c r="K62" t="s">
        <v>55</v>
      </c>
      <c r="L62" t="s">
        <v>55</v>
      </c>
      <c r="M62" t="s">
        <v>804</v>
      </c>
    </row>
    <row r="63" spans="1:13" ht="15" customHeight="1" x14ac:dyDescent="0.25">
      <c r="A63" t="s">
        <v>739</v>
      </c>
      <c r="B63" t="s">
        <v>199</v>
      </c>
      <c r="C63">
        <v>542359</v>
      </c>
      <c r="D63" t="s">
        <v>899</v>
      </c>
      <c r="E63" t="s">
        <v>900</v>
      </c>
      <c r="F63" t="s">
        <v>901</v>
      </c>
      <c r="G63" t="s">
        <v>902</v>
      </c>
      <c r="H63" t="s">
        <v>571</v>
      </c>
      <c r="I63" t="s">
        <v>560</v>
      </c>
      <c r="J63" t="s">
        <v>615</v>
      </c>
      <c r="K63" t="s">
        <v>55</v>
      </c>
      <c r="L63" t="s">
        <v>55</v>
      </c>
      <c r="M63" t="s">
        <v>752</v>
      </c>
    </row>
    <row r="64" spans="1:13" ht="15" customHeight="1" x14ac:dyDescent="0.25">
      <c r="A64" t="s">
        <v>739</v>
      </c>
      <c r="B64" t="s">
        <v>199</v>
      </c>
      <c r="C64">
        <v>542364</v>
      </c>
      <c r="D64" t="s">
        <v>903</v>
      </c>
      <c r="E64" t="s">
        <v>904</v>
      </c>
      <c r="F64" t="s">
        <v>905</v>
      </c>
      <c r="G64" t="s">
        <v>906</v>
      </c>
      <c r="H64" t="s">
        <v>558</v>
      </c>
      <c r="I64" t="s">
        <v>560</v>
      </c>
      <c r="J64" t="s">
        <v>751</v>
      </c>
      <c r="K64" t="s">
        <v>55</v>
      </c>
      <c r="L64" t="s">
        <v>55</v>
      </c>
      <c r="M64" t="s">
        <v>787</v>
      </c>
    </row>
    <row r="65" spans="1:13" ht="15" customHeight="1" x14ac:dyDescent="0.25">
      <c r="A65" t="s">
        <v>739</v>
      </c>
      <c r="B65" t="s">
        <v>199</v>
      </c>
      <c r="C65">
        <v>543048</v>
      </c>
      <c r="D65" t="s">
        <v>907</v>
      </c>
      <c r="E65" t="s">
        <v>908</v>
      </c>
      <c r="F65" t="s">
        <v>909</v>
      </c>
      <c r="G65" t="s">
        <v>910</v>
      </c>
      <c r="H65" t="s">
        <v>911</v>
      </c>
      <c r="I65" t="s">
        <v>560</v>
      </c>
      <c r="J65" t="s">
        <v>689</v>
      </c>
      <c r="K65" t="s">
        <v>55</v>
      </c>
      <c r="L65" t="s">
        <v>55</v>
      </c>
      <c r="M65" t="s">
        <v>912</v>
      </c>
    </row>
    <row r="66" spans="1:13" ht="15" customHeight="1" x14ac:dyDescent="0.25">
      <c r="A66" t="s">
        <v>739</v>
      </c>
      <c r="B66" t="s">
        <v>199</v>
      </c>
      <c r="C66">
        <v>542330</v>
      </c>
      <c r="D66" t="s">
        <v>913</v>
      </c>
      <c r="E66" t="s">
        <v>914</v>
      </c>
      <c r="F66" t="s">
        <v>915</v>
      </c>
      <c r="G66" t="s">
        <v>916</v>
      </c>
      <c r="H66" t="s">
        <v>889</v>
      </c>
      <c r="I66" t="s">
        <v>560</v>
      </c>
      <c r="J66" t="s">
        <v>917</v>
      </c>
      <c r="K66" t="s">
        <v>55</v>
      </c>
      <c r="L66" t="s">
        <v>55</v>
      </c>
      <c r="M66" t="s">
        <v>884</v>
      </c>
    </row>
    <row r="67" spans="1:13" ht="15" customHeight="1" x14ac:dyDescent="0.25">
      <c r="A67" t="s">
        <v>739</v>
      </c>
      <c r="B67" t="s">
        <v>199</v>
      </c>
      <c r="C67">
        <v>542307</v>
      </c>
      <c r="D67" t="s">
        <v>918</v>
      </c>
      <c r="E67" t="s">
        <v>919</v>
      </c>
      <c r="F67" t="s">
        <v>920</v>
      </c>
      <c r="G67" t="s">
        <v>921</v>
      </c>
      <c r="H67" t="s">
        <v>576</v>
      </c>
      <c r="I67" t="s">
        <v>560</v>
      </c>
      <c r="J67" t="s">
        <v>922</v>
      </c>
      <c r="K67" t="s">
        <v>55</v>
      </c>
      <c r="L67" t="s">
        <v>55</v>
      </c>
      <c r="M67" t="s">
        <v>787</v>
      </c>
    </row>
    <row r="68" spans="1:13" ht="15" customHeight="1" x14ac:dyDescent="0.25">
      <c r="A68" t="s">
        <v>739</v>
      </c>
      <c r="B68" t="s">
        <v>199</v>
      </c>
      <c r="C68">
        <v>542230</v>
      </c>
      <c r="D68" t="s">
        <v>923</v>
      </c>
      <c r="E68" t="s">
        <v>924</v>
      </c>
      <c r="F68" t="s">
        <v>925</v>
      </c>
      <c r="G68" t="s">
        <v>926</v>
      </c>
      <c r="H68" t="s">
        <v>571</v>
      </c>
      <c r="I68" t="s">
        <v>560</v>
      </c>
      <c r="J68" t="s">
        <v>927</v>
      </c>
      <c r="K68" t="s">
        <v>55</v>
      </c>
      <c r="L68" t="s">
        <v>55</v>
      </c>
      <c r="M68" t="s">
        <v>827</v>
      </c>
    </row>
    <row r="69" spans="1:13" ht="15" customHeight="1" x14ac:dyDescent="0.25">
      <c r="A69" t="s">
        <v>739</v>
      </c>
      <c r="B69" t="s">
        <v>199</v>
      </c>
      <c r="C69">
        <v>542366</v>
      </c>
      <c r="D69" t="s">
        <v>928</v>
      </c>
      <c r="E69" t="s">
        <v>760</v>
      </c>
      <c r="F69" t="s">
        <v>761</v>
      </c>
      <c r="G69" t="s">
        <v>762</v>
      </c>
      <c r="H69" t="s">
        <v>763</v>
      </c>
      <c r="I69" t="s">
        <v>560</v>
      </c>
      <c r="J69" t="s">
        <v>764</v>
      </c>
      <c r="K69" t="s">
        <v>55</v>
      </c>
      <c r="L69" t="s">
        <v>55</v>
      </c>
      <c r="M69" t="s">
        <v>752</v>
      </c>
    </row>
    <row r="70" spans="1:13" ht="15" customHeight="1" x14ac:dyDescent="0.25">
      <c r="A70" t="s">
        <v>739</v>
      </c>
      <c r="B70" t="s">
        <v>199</v>
      </c>
      <c r="C70">
        <v>542296</v>
      </c>
      <c r="D70" t="s">
        <v>929</v>
      </c>
      <c r="E70" t="s">
        <v>930</v>
      </c>
      <c r="F70" t="s">
        <v>931</v>
      </c>
      <c r="G70" t="s">
        <v>932</v>
      </c>
      <c r="H70" t="s">
        <v>757</v>
      </c>
      <c r="I70" t="s">
        <v>560</v>
      </c>
      <c r="J70" t="s">
        <v>615</v>
      </c>
      <c r="K70" t="s">
        <v>55</v>
      </c>
      <c r="L70" t="s">
        <v>55</v>
      </c>
      <c r="M70" t="s">
        <v>933</v>
      </c>
    </row>
    <row r="71" spans="1:13" ht="15" customHeight="1" x14ac:dyDescent="0.25">
      <c r="A71" t="s">
        <v>739</v>
      </c>
      <c r="B71" t="s">
        <v>199</v>
      </c>
      <c r="C71">
        <v>542388</v>
      </c>
      <c r="D71" t="s">
        <v>929</v>
      </c>
      <c r="E71" t="s">
        <v>934</v>
      </c>
      <c r="F71" t="s">
        <v>935</v>
      </c>
      <c r="G71" t="s">
        <v>936</v>
      </c>
      <c r="H71" t="s">
        <v>757</v>
      </c>
      <c r="I71" t="s">
        <v>560</v>
      </c>
      <c r="J71" t="s">
        <v>660</v>
      </c>
      <c r="K71" t="s">
        <v>55</v>
      </c>
      <c r="L71" t="s">
        <v>55</v>
      </c>
      <c r="M71" t="s">
        <v>884</v>
      </c>
    </row>
    <row r="72" spans="1:13" ht="15" customHeight="1" x14ac:dyDescent="0.25">
      <c r="A72" t="s">
        <v>739</v>
      </c>
      <c r="B72" t="s">
        <v>199</v>
      </c>
      <c r="C72">
        <v>542712</v>
      </c>
      <c r="D72" t="s">
        <v>937</v>
      </c>
      <c r="E72" t="s">
        <v>938</v>
      </c>
      <c r="F72" t="s">
        <v>939</v>
      </c>
      <c r="G72" t="s">
        <v>940</v>
      </c>
      <c r="H72" t="s">
        <v>792</v>
      </c>
      <c r="I72" t="s">
        <v>560</v>
      </c>
      <c r="J72" t="s">
        <v>941</v>
      </c>
      <c r="K72" t="s">
        <v>55</v>
      </c>
      <c r="L72" t="s">
        <v>55</v>
      </c>
      <c r="M72" t="s">
        <v>810</v>
      </c>
    </row>
    <row r="73" spans="1:13" ht="15" customHeight="1" x14ac:dyDescent="0.25">
      <c r="A73" t="s">
        <v>739</v>
      </c>
      <c r="B73" t="s">
        <v>199</v>
      </c>
      <c r="C73">
        <v>543026</v>
      </c>
      <c r="D73" t="s">
        <v>942</v>
      </c>
      <c r="E73" t="s">
        <v>943</v>
      </c>
      <c r="F73" t="s">
        <v>944</v>
      </c>
      <c r="G73" t="s">
        <v>945</v>
      </c>
      <c r="H73" t="s">
        <v>757</v>
      </c>
      <c r="I73" t="s">
        <v>560</v>
      </c>
      <c r="J73" t="s">
        <v>620</v>
      </c>
      <c r="K73" t="s">
        <v>55</v>
      </c>
      <c r="L73" t="s">
        <v>55</v>
      </c>
      <c r="M73" t="s">
        <v>912</v>
      </c>
    </row>
    <row r="74" spans="1:13" ht="15" customHeight="1" x14ac:dyDescent="0.25">
      <c r="A74" t="s">
        <v>739</v>
      </c>
      <c r="B74" t="s">
        <v>199</v>
      </c>
      <c r="C74">
        <v>542356</v>
      </c>
      <c r="D74" t="s">
        <v>946</v>
      </c>
      <c r="E74" t="s">
        <v>947</v>
      </c>
      <c r="F74" t="s">
        <v>948</v>
      </c>
      <c r="G74" t="s">
        <v>949</v>
      </c>
      <c r="H74" t="s">
        <v>744</v>
      </c>
      <c r="I74" t="s">
        <v>560</v>
      </c>
      <c r="J74" t="s">
        <v>950</v>
      </c>
      <c r="K74" t="s">
        <v>55</v>
      </c>
      <c r="L74" t="s">
        <v>55</v>
      </c>
      <c r="M74" t="s">
        <v>765</v>
      </c>
    </row>
    <row r="75" spans="1:13" ht="15" customHeight="1" x14ac:dyDescent="0.25">
      <c r="A75" t="s">
        <v>739</v>
      </c>
      <c r="B75" t="s">
        <v>199</v>
      </c>
      <c r="C75">
        <v>542351</v>
      </c>
      <c r="D75" t="s">
        <v>951</v>
      </c>
      <c r="E75" t="s">
        <v>952</v>
      </c>
      <c r="F75" t="s">
        <v>953</v>
      </c>
      <c r="G75" t="s">
        <v>954</v>
      </c>
      <c r="H75" t="s">
        <v>911</v>
      </c>
      <c r="I75" t="s">
        <v>560</v>
      </c>
      <c r="J75" t="s">
        <v>955</v>
      </c>
      <c r="K75" t="s">
        <v>55</v>
      </c>
      <c r="L75" t="s">
        <v>55</v>
      </c>
      <c r="M75" t="s">
        <v>810</v>
      </c>
    </row>
    <row r="76" spans="1:13" ht="15" customHeight="1" x14ac:dyDescent="0.25">
      <c r="A76" t="s">
        <v>739</v>
      </c>
      <c r="B76" t="s">
        <v>199</v>
      </c>
      <c r="C76">
        <v>542290</v>
      </c>
      <c r="D76" t="s">
        <v>956</v>
      </c>
      <c r="E76" t="s">
        <v>957</v>
      </c>
      <c r="F76" t="s">
        <v>958</v>
      </c>
      <c r="G76" t="s">
        <v>959</v>
      </c>
      <c r="H76" t="s">
        <v>567</v>
      </c>
      <c r="I76" t="s">
        <v>560</v>
      </c>
      <c r="J76" t="s">
        <v>715</v>
      </c>
      <c r="K76" t="s">
        <v>55</v>
      </c>
      <c r="L76" t="s">
        <v>55</v>
      </c>
      <c r="M76" t="s">
        <v>933</v>
      </c>
    </row>
    <row r="77" spans="1:13" ht="15" customHeight="1" x14ac:dyDescent="0.25">
      <c r="A77" t="s">
        <v>739</v>
      </c>
      <c r="B77" t="s">
        <v>199</v>
      </c>
      <c r="C77">
        <v>542242</v>
      </c>
      <c r="D77" t="s">
        <v>960</v>
      </c>
      <c r="E77" t="s">
        <v>961</v>
      </c>
      <c r="F77" t="s">
        <v>962</v>
      </c>
      <c r="G77" t="s">
        <v>963</v>
      </c>
      <c r="H77" t="s">
        <v>558</v>
      </c>
      <c r="I77" t="s">
        <v>560</v>
      </c>
      <c r="J77" t="s">
        <v>615</v>
      </c>
      <c r="K77" t="s">
        <v>55</v>
      </c>
      <c r="L77" t="s">
        <v>55</v>
      </c>
      <c r="M77" t="s">
        <v>964</v>
      </c>
    </row>
    <row r="78" spans="1:13" ht="15" customHeight="1" x14ac:dyDescent="0.25">
      <c r="A78" t="s">
        <v>739</v>
      </c>
      <c r="B78" t="s">
        <v>199</v>
      </c>
      <c r="C78">
        <v>542361</v>
      </c>
      <c r="D78" t="s">
        <v>965</v>
      </c>
      <c r="E78" t="s">
        <v>966</v>
      </c>
      <c r="F78" t="s">
        <v>967</v>
      </c>
      <c r="G78" t="s">
        <v>968</v>
      </c>
      <c r="H78" t="s">
        <v>563</v>
      </c>
      <c r="I78" t="s">
        <v>560</v>
      </c>
      <c r="J78" t="s">
        <v>720</v>
      </c>
      <c r="K78" t="s">
        <v>55</v>
      </c>
      <c r="L78" t="s">
        <v>55</v>
      </c>
      <c r="M78" t="s">
        <v>778</v>
      </c>
    </row>
    <row r="79" spans="1:13" ht="15" customHeight="1" x14ac:dyDescent="0.25">
      <c r="A79" t="s">
        <v>739</v>
      </c>
      <c r="B79" t="s">
        <v>199</v>
      </c>
      <c r="C79">
        <v>542291</v>
      </c>
      <c r="D79" t="s">
        <v>969</v>
      </c>
      <c r="E79" t="s">
        <v>970</v>
      </c>
      <c r="F79" t="s">
        <v>971</v>
      </c>
      <c r="G79" t="s">
        <v>972</v>
      </c>
      <c r="H79" t="s">
        <v>558</v>
      </c>
      <c r="I79" t="s">
        <v>560</v>
      </c>
      <c r="J79" t="s">
        <v>609</v>
      </c>
      <c r="K79" t="s">
        <v>55</v>
      </c>
      <c r="L79" t="s">
        <v>55</v>
      </c>
      <c r="M79" t="s">
        <v>973</v>
      </c>
    </row>
    <row r="80" spans="1:13" ht="15" customHeight="1" x14ac:dyDescent="0.25">
      <c r="A80" t="s">
        <v>739</v>
      </c>
      <c r="B80" t="s">
        <v>199</v>
      </c>
      <c r="C80">
        <v>542410</v>
      </c>
      <c r="D80" t="s">
        <v>974</v>
      </c>
      <c r="E80" t="s">
        <v>975</v>
      </c>
      <c r="F80" t="s">
        <v>976</v>
      </c>
      <c r="G80" t="s">
        <v>977</v>
      </c>
      <c r="H80" t="s">
        <v>911</v>
      </c>
      <c r="I80" t="s">
        <v>560</v>
      </c>
      <c r="J80" t="s">
        <v>615</v>
      </c>
      <c r="K80" t="s">
        <v>55</v>
      </c>
      <c r="L80" t="s">
        <v>55</v>
      </c>
      <c r="M80" t="s">
        <v>752</v>
      </c>
    </row>
    <row r="81" spans="1:13" ht="15" customHeight="1" x14ac:dyDescent="0.25">
      <c r="A81" t="s">
        <v>739</v>
      </c>
      <c r="B81" t="s">
        <v>199</v>
      </c>
      <c r="C81">
        <v>542358</v>
      </c>
      <c r="D81" t="s">
        <v>978</v>
      </c>
      <c r="E81" t="s">
        <v>979</v>
      </c>
      <c r="F81" t="s">
        <v>980</v>
      </c>
      <c r="G81" t="s">
        <v>981</v>
      </c>
      <c r="H81" t="s">
        <v>571</v>
      </c>
      <c r="I81" t="s">
        <v>560</v>
      </c>
      <c r="J81" t="s">
        <v>631</v>
      </c>
      <c r="K81" t="s">
        <v>55</v>
      </c>
      <c r="L81" t="s">
        <v>55</v>
      </c>
      <c r="M81" t="s">
        <v>745</v>
      </c>
    </row>
    <row r="82" spans="1:13" ht="15" customHeight="1" x14ac:dyDescent="0.25">
      <c r="A82" t="s">
        <v>739</v>
      </c>
      <c r="B82" t="s">
        <v>199</v>
      </c>
      <c r="C82">
        <v>542231</v>
      </c>
      <c r="D82" t="s">
        <v>982</v>
      </c>
      <c r="E82" t="s">
        <v>983</v>
      </c>
      <c r="F82" t="s">
        <v>984</v>
      </c>
      <c r="G82" t="s">
        <v>985</v>
      </c>
      <c r="H82" t="s">
        <v>571</v>
      </c>
      <c r="I82" t="s">
        <v>560</v>
      </c>
      <c r="J82" t="s">
        <v>609</v>
      </c>
      <c r="K82" t="s">
        <v>55</v>
      </c>
      <c r="L82" t="s">
        <v>55</v>
      </c>
      <c r="M82" t="s">
        <v>771</v>
      </c>
    </row>
    <row r="83" spans="1:13" ht="15" customHeight="1" x14ac:dyDescent="0.25">
      <c r="A83" t="s">
        <v>739</v>
      </c>
      <c r="B83" t="s">
        <v>199</v>
      </c>
      <c r="C83">
        <v>542304</v>
      </c>
      <c r="D83" t="s">
        <v>986</v>
      </c>
      <c r="E83" t="s">
        <v>987</v>
      </c>
      <c r="F83" t="s">
        <v>988</v>
      </c>
      <c r="G83" t="s">
        <v>989</v>
      </c>
      <c r="H83" t="s">
        <v>757</v>
      </c>
      <c r="I83" t="s">
        <v>560</v>
      </c>
      <c r="J83" t="s">
        <v>620</v>
      </c>
      <c r="K83" t="s">
        <v>55</v>
      </c>
      <c r="L83" t="s">
        <v>55</v>
      </c>
      <c r="M83" t="s">
        <v>990</v>
      </c>
    </row>
    <row r="84" spans="1:13" ht="15" customHeight="1" x14ac:dyDescent="0.25">
      <c r="A84" t="s">
        <v>739</v>
      </c>
      <c r="B84" t="s">
        <v>199</v>
      </c>
      <c r="C84">
        <v>542380</v>
      </c>
      <c r="D84" t="s">
        <v>991</v>
      </c>
      <c r="E84" t="s">
        <v>992</v>
      </c>
      <c r="F84" t="s">
        <v>993</v>
      </c>
      <c r="G84" t="s">
        <v>994</v>
      </c>
      <c r="H84" t="s">
        <v>763</v>
      </c>
      <c r="I84" t="s">
        <v>560</v>
      </c>
      <c r="J84" t="s">
        <v>715</v>
      </c>
      <c r="K84" t="s">
        <v>55</v>
      </c>
      <c r="L84" t="s">
        <v>55</v>
      </c>
      <c r="M84" t="s">
        <v>745</v>
      </c>
    </row>
    <row r="85" spans="1:13" ht="15" customHeight="1" x14ac:dyDescent="0.25">
      <c r="A85" t="s">
        <v>739</v>
      </c>
      <c r="B85" t="s">
        <v>199</v>
      </c>
      <c r="C85">
        <v>542367</v>
      </c>
      <c r="D85" t="s">
        <v>995</v>
      </c>
      <c r="E85" t="s">
        <v>996</v>
      </c>
      <c r="F85" t="s">
        <v>997</v>
      </c>
      <c r="G85" t="s">
        <v>998</v>
      </c>
      <c r="H85" t="s">
        <v>999</v>
      </c>
      <c r="I85" t="s">
        <v>560</v>
      </c>
      <c r="J85" t="s">
        <v>620</v>
      </c>
      <c r="K85" t="s">
        <v>55</v>
      </c>
      <c r="L85" t="s">
        <v>55</v>
      </c>
      <c r="M85" t="s">
        <v>752</v>
      </c>
    </row>
    <row r="86" spans="1:13" ht="15" customHeight="1" x14ac:dyDescent="0.25">
      <c r="A86" t="s">
        <v>739</v>
      </c>
      <c r="B86" t="s">
        <v>199</v>
      </c>
      <c r="C86">
        <v>542229</v>
      </c>
      <c r="D86" t="s">
        <v>1000</v>
      </c>
      <c r="E86" t="s">
        <v>560</v>
      </c>
      <c r="F86" t="s">
        <v>1001</v>
      </c>
      <c r="G86" t="s">
        <v>1002</v>
      </c>
      <c r="H86" t="s">
        <v>571</v>
      </c>
      <c r="I86" t="s">
        <v>560</v>
      </c>
      <c r="J86" t="s">
        <v>1003</v>
      </c>
      <c r="K86" t="s">
        <v>55</v>
      </c>
      <c r="L86" t="s">
        <v>55</v>
      </c>
      <c r="M86" t="s">
        <v>827</v>
      </c>
    </row>
    <row r="87" spans="1:13" ht="15" customHeight="1" x14ac:dyDescent="0.25">
      <c r="A87" t="s">
        <v>739</v>
      </c>
      <c r="B87" t="s">
        <v>199</v>
      </c>
      <c r="C87">
        <v>542232</v>
      </c>
      <c r="D87" t="s">
        <v>1004</v>
      </c>
      <c r="E87" t="s">
        <v>1005</v>
      </c>
      <c r="F87" t="s">
        <v>1006</v>
      </c>
      <c r="G87" t="s">
        <v>1007</v>
      </c>
      <c r="H87" t="s">
        <v>1008</v>
      </c>
      <c r="I87" t="s">
        <v>560</v>
      </c>
      <c r="J87" t="s">
        <v>615</v>
      </c>
      <c r="K87" t="s">
        <v>55</v>
      </c>
      <c r="L87" t="s">
        <v>55</v>
      </c>
      <c r="M87" t="s">
        <v>912</v>
      </c>
    </row>
    <row r="88" spans="1:13" ht="15" customHeight="1" x14ac:dyDescent="0.25">
      <c r="A88" t="s">
        <v>739</v>
      </c>
      <c r="B88" t="s">
        <v>199</v>
      </c>
      <c r="C88">
        <v>542211</v>
      </c>
      <c r="D88" t="s">
        <v>1009</v>
      </c>
      <c r="E88" t="s">
        <v>1010</v>
      </c>
      <c r="F88" t="s">
        <v>1011</v>
      </c>
      <c r="G88" t="s">
        <v>1012</v>
      </c>
      <c r="H88" t="s">
        <v>567</v>
      </c>
      <c r="I88" t="s">
        <v>560</v>
      </c>
      <c r="J88" t="s">
        <v>715</v>
      </c>
      <c r="K88" t="s">
        <v>55</v>
      </c>
      <c r="L88" t="s">
        <v>55</v>
      </c>
      <c r="M88" t="s">
        <v>1013</v>
      </c>
    </row>
    <row r="89" spans="1:13" ht="15" customHeight="1" x14ac:dyDescent="0.25">
      <c r="A89" t="s">
        <v>739</v>
      </c>
      <c r="B89" t="s">
        <v>199</v>
      </c>
      <c r="C89">
        <v>542390</v>
      </c>
      <c r="D89" t="s">
        <v>1014</v>
      </c>
      <c r="E89" t="s">
        <v>1015</v>
      </c>
      <c r="F89" t="s">
        <v>1016</v>
      </c>
      <c r="G89" t="s">
        <v>1017</v>
      </c>
      <c r="H89" t="s">
        <v>567</v>
      </c>
      <c r="I89" t="s">
        <v>560</v>
      </c>
      <c r="J89" t="s">
        <v>770</v>
      </c>
      <c r="K89" t="s">
        <v>55</v>
      </c>
      <c r="L89" t="s">
        <v>55</v>
      </c>
      <c r="M89" t="s">
        <v>758</v>
      </c>
    </row>
    <row r="90" spans="1:13" ht="15" customHeight="1" x14ac:dyDescent="0.25">
      <c r="A90" t="s">
        <v>739</v>
      </c>
      <c r="B90" t="s">
        <v>199</v>
      </c>
      <c r="C90">
        <v>542588</v>
      </c>
      <c r="D90" t="s">
        <v>1018</v>
      </c>
      <c r="E90" t="s">
        <v>1019</v>
      </c>
      <c r="F90" t="s">
        <v>1020</v>
      </c>
      <c r="G90" t="s">
        <v>1021</v>
      </c>
      <c r="H90" t="s">
        <v>571</v>
      </c>
      <c r="I90" t="s">
        <v>560</v>
      </c>
      <c r="J90" t="s">
        <v>797</v>
      </c>
      <c r="K90" t="s">
        <v>55</v>
      </c>
      <c r="L90" t="s">
        <v>55</v>
      </c>
      <c r="M90" t="s">
        <v>1013</v>
      </c>
    </row>
    <row r="91" spans="1:13" ht="15" customHeight="1" x14ac:dyDescent="0.25">
      <c r="A91" t="s">
        <v>739</v>
      </c>
      <c r="B91" t="s">
        <v>199</v>
      </c>
      <c r="C91">
        <v>542394</v>
      </c>
      <c r="D91" t="s">
        <v>1022</v>
      </c>
      <c r="E91" t="s">
        <v>1023</v>
      </c>
      <c r="F91" t="s">
        <v>1024</v>
      </c>
      <c r="G91" t="s">
        <v>1025</v>
      </c>
      <c r="H91" t="s">
        <v>558</v>
      </c>
      <c r="I91" t="s">
        <v>560</v>
      </c>
      <c r="J91" t="s">
        <v>689</v>
      </c>
      <c r="K91" t="s">
        <v>55</v>
      </c>
      <c r="L91" t="s">
        <v>55</v>
      </c>
      <c r="M91" t="s">
        <v>752</v>
      </c>
    </row>
    <row r="92" spans="1:13" ht="15" customHeight="1" x14ac:dyDescent="0.25">
      <c r="A92" t="s">
        <v>739</v>
      </c>
      <c r="B92" t="s">
        <v>199</v>
      </c>
      <c r="C92">
        <v>542315</v>
      </c>
      <c r="D92" t="s">
        <v>1026</v>
      </c>
      <c r="E92" t="s">
        <v>1027</v>
      </c>
      <c r="F92" t="s">
        <v>1028</v>
      </c>
      <c r="G92" t="s">
        <v>1029</v>
      </c>
      <c r="H92" t="s">
        <v>576</v>
      </c>
      <c r="I92" t="s">
        <v>560</v>
      </c>
      <c r="J92" t="s">
        <v>1030</v>
      </c>
      <c r="K92" t="s">
        <v>55</v>
      </c>
      <c r="L92" t="s">
        <v>55</v>
      </c>
      <c r="M92" t="s">
        <v>752</v>
      </c>
    </row>
    <row r="93" spans="1:13" ht="15" customHeight="1" x14ac:dyDescent="0.25">
      <c r="A93" t="s">
        <v>739</v>
      </c>
      <c r="B93" t="s">
        <v>199</v>
      </c>
      <c r="C93">
        <v>542318</v>
      </c>
      <c r="D93" t="s">
        <v>1031</v>
      </c>
      <c r="E93" t="s">
        <v>1032</v>
      </c>
      <c r="F93" t="s">
        <v>1033</v>
      </c>
      <c r="G93" t="s">
        <v>1034</v>
      </c>
      <c r="H93" t="s">
        <v>576</v>
      </c>
      <c r="I93" t="s">
        <v>560</v>
      </c>
      <c r="J93" t="s">
        <v>1035</v>
      </c>
      <c r="K93" t="s">
        <v>55</v>
      </c>
      <c r="L93" t="s">
        <v>55</v>
      </c>
      <c r="M93" t="s">
        <v>752</v>
      </c>
    </row>
    <row r="94" spans="1:13" ht="15" customHeight="1" x14ac:dyDescent="0.25">
      <c r="A94" t="s">
        <v>739</v>
      </c>
      <c r="B94" t="s">
        <v>199</v>
      </c>
      <c r="C94">
        <v>542208</v>
      </c>
      <c r="D94" t="s">
        <v>1036</v>
      </c>
      <c r="E94" t="s">
        <v>1037</v>
      </c>
      <c r="F94" t="s">
        <v>1038</v>
      </c>
      <c r="G94" t="s">
        <v>1039</v>
      </c>
      <c r="H94" t="s">
        <v>999</v>
      </c>
      <c r="I94" t="s">
        <v>560</v>
      </c>
      <c r="J94" t="s">
        <v>770</v>
      </c>
      <c r="K94" t="s">
        <v>55</v>
      </c>
      <c r="L94" t="s">
        <v>55</v>
      </c>
      <c r="M94" t="s">
        <v>1040</v>
      </c>
    </row>
    <row r="95" spans="1:13" ht="15" customHeight="1" x14ac:dyDescent="0.25">
      <c r="A95" t="s">
        <v>739</v>
      </c>
      <c r="B95" t="s">
        <v>199</v>
      </c>
      <c r="C95">
        <v>542233</v>
      </c>
      <c r="D95" t="s">
        <v>1041</v>
      </c>
      <c r="E95" t="s">
        <v>1042</v>
      </c>
      <c r="F95" t="s">
        <v>1043</v>
      </c>
      <c r="G95" t="s">
        <v>1044</v>
      </c>
      <c r="H95" t="s">
        <v>558</v>
      </c>
      <c r="I95" t="s">
        <v>560</v>
      </c>
      <c r="J95" t="s">
        <v>660</v>
      </c>
      <c r="K95" t="s">
        <v>55</v>
      </c>
      <c r="L95" t="s">
        <v>55</v>
      </c>
      <c r="M95" t="s">
        <v>1045</v>
      </c>
    </row>
    <row r="96" spans="1:13" ht="15" customHeight="1" x14ac:dyDescent="0.25">
      <c r="A96" t="s">
        <v>739</v>
      </c>
      <c r="B96" t="s">
        <v>199</v>
      </c>
      <c r="C96">
        <v>542357</v>
      </c>
      <c r="D96" t="s">
        <v>1046</v>
      </c>
      <c r="E96" t="s">
        <v>1047</v>
      </c>
      <c r="F96" t="s">
        <v>1048</v>
      </c>
      <c r="G96" t="s">
        <v>1049</v>
      </c>
      <c r="H96" t="s">
        <v>1050</v>
      </c>
      <c r="I96" t="s">
        <v>560</v>
      </c>
      <c r="J96" t="s">
        <v>1051</v>
      </c>
      <c r="K96" t="s">
        <v>55</v>
      </c>
      <c r="L96" t="s">
        <v>55</v>
      </c>
      <c r="M96" t="s">
        <v>745</v>
      </c>
    </row>
    <row r="97" spans="1:13" ht="15" customHeight="1" x14ac:dyDescent="0.25">
      <c r="A97" t="s">
        <v>739</v>
      </c>
      <c r="B97" t="s">
        <v>199</v>
      </c>
      <c r="C97">
        <v>542363</v>
      </c>
      <c r="D97" t="s">
        <v>1052</v>
      </c>
      <c r="E97" t="s">
        <v>1053</v>
      </c>
      <c r="F97" t="s">
        <v>1054</v>
      </c>
      <c r="G97" t="s">
        <v>1055</v>
      </c>
      <c r="H97" t="s">
        <v>563</v>
      </c>
      <c r="I97" t="s">
        <v>560</v>
      </c>
      <c r="J97" t="s">
        <v>777</v>
      </c>
      <c r="K97" t="s">
        <v>55</v>
      </c>
      <c r="L97" t="s">
        <v>55</v>
      </c>
      <c r="M97" t="s">
        <v>765</v>
      </c>
    </row>
    <row r="98" spans="1:13" ht="15" customHeight="1" x14ac:dyDescent="0.25">
      <c r="A98" t="s">
        <v>739</v>
      </c>
      <c r="B98" t="s">
        <v>199</v>
      </c>
      <c r="C98">
        <v>542362</v>
      </c>
      <c r="D98" t="s">
        <v>1052</v>
      </c>
      <c r="E98" t="s">
        <v>1056</v>
      </c>
      <c r="F98" t="s">
        <v>1057</v>
      </c>
      <c r="G98" t="s">
        <v>1058</v>
      </c>
      <c r="H98" t="s">
        <v>563</v>
      </c>
      <c r="I98" t="s">
        <v>560</v>
      </c>
      <c r="J98" t="s">
        <v>615</v>
      </c>
      <c r="K98" t="s">
        <v>55</v>
      </c>
      <c r="L98" t="s">
        <v>55</v>
      </c>
      <c r="M98" t="s">
        <v>884</v>
      </c>
    </row>
    <row r="99" spans="1:13" ht="15" customHeight="1" x14ac:dyDescent="0.25">
      <c r="A99" t="s">
        <v>739</v>
      </c>
      <c r="B99" t="s">
        <v>199</v>
      </c>
      <c r="C99">
        <v>542310</v>
      </c>
      <c r="D99" t="s">
        <v>1059</v>
      </c>
      <c r="E99" t="s">
        <v>1060</v>
      </c>
      <c r="F99" t="s">
        <v>1061</v>
      </c>
      <c r="G99" t="s">
        <v>1062</v>
      </c>
      <c r="H99" t="s">
        <v>576</v>
      </c>
      <c r="I99" t="s">
        <v>560</v>
      </c>
      <c r="J99" t="s">
        <v>615</v>
      </c>
      <c r="K99" t="s">
        <v>55</v>
      </c>
      <c r="L99" t="s">
        <v>55</v>
      </c>
      <c r="M99" t="s">
        <v>844</v>
      </c>
    </row>
    <row r="100" spans="1:13" ht="15" customHeight="1" x14ac:dyDescent="0.25">
      <c r="A100" t="s">
        <v>739</v>
      </c>
      <c r="B100" t="s">
        <v>199</v>
      </c>
      <c r="C100">
        <v>542301</v>
      </c>
      <c r="D100" t="s">
        <v>1063</v>
      </c>
      <c r="E100" t="s">
        <v>1064</v>
      </c>
      <c r="F100" t="s">
        <v>1065</v>
      </c>
      <c r="G100" t="s">
        <v>1066</v>
      </c>
      <c r="H100" t="s">
        <v>999</v>
      </c>
      <c r="I100" t="s">
        <v>560</v>
      </c>
      <c r="J100" t="s">
        <v>751</v>
      </c>
      <c r="K100" t="s">
        <v>55</v>
      </c>
      <c r="L100" t="s">
        <v>55</v>
      </c>
      <c r="M100" t="s">
        <v>884</v>
      </c>
    </row>
    <row r="101" spans="1:13" ht="15" customHeight="1" x14ac:dyDescent="0.25">
      <c r="A101" t="s">
        <v>739</v>
      </c>
      <c r="B101" t="s">
        <v>199</v>
      </c>
      <c r="C101">
        <v>542713</v>
      </c>
      <c r="D101" t="s">
        <v>1067</v>
      </c>
      <c r="E101" t="s">
        <v>1068</v>
      </c>
      <c r="F101" t="s">
        <v>1069</v>
      </c>
      <c r="G101" t="s">
        <v>1070</v>
      </c>
      <c r="H101" t="s">
        <v>792</v>
      </c>
      <c r="I101" t="s">
        <v>560</v>
      </c>
      <c r="J101" t="s">
        <v>927</v>
      </c>
      <c r="K101" t="s">
        <v>55</v>
      </c>
      <c r="L101" t="s">
        <v>55</v>
      </c>
      <c r="M101" t="s">
        <v>810</v>
      </c>
    </row>
    <row r="102" spans="1:13" ht="15" customHeight="1" x14ac:dyDescent="0.25">
      <c r="A102" t="s">
        <v>739</v>
      </c>
      <c r="B102" t="s">
        <v>199</v>
      </c>
      <c r="C102">
        <v>542240</v>
      </c>
      <c r="D102" t="s">
        <v>1071</v>
      </c>
      <c r="E102" t="s">
        <v>1072</v>
      </c>
      <c r="F102" t="s">
        <v>1073</v>
      </c>
      <c r="G102" t="s">
        <v>1074</v>
      </c>
      <c r="H102" t="s">
        <v>744</v>
      </c>
      <c r="I102" t="s">
        <v>560</v>
      </c>
      <c r="J102" t="s">
        <v>1075</v>
      </c>
      <c r="K102" t="s">
        <v>55</v>
      </c>
      <c r="L102" t="s">
        <v>55</v>
      </c>
      <c r="M102" t="s">
        <v>1076</v>
      </c>
    </row>
    <row r="103" spans="1:13" ht="15" customHeight="1" x14ac:dyDescent="0.25">
      <c r="A103" t="s">
        <v>739</v>
      </c>
      <c r="B103" t="s">
        <v>199</v>
      </c>
      <c r="C103">
        <v>542303</v>
      </c>
      <c r="D103" t="s">
        <v>1077</v>
      </c>
      <c r="E103" t="s">
        <v>1078</v>
      </c>
      <c r="F103" t="s">
        <v>1079</v>
      </c>
      <c r="G103" t="s">
        <v>1080</v>
      </c>
      <c r="H103" t="s">
        <v>750</v>
      </c>
      <c r="I103" t="s">
        <v>560</v>
      </c>
      <c r="J103" t="s">
        <v>1081</v>
      </c>
      <c r="K103" t="s">
        <v>55</v>
      </c>
      <c r="L103" t="s">
        <v>55</v>
      </c>
      <c r="M103" t="s">
        <v>990</v>
      </c>
    </row>
    <row r="104" spans="1:13" ht="15" customHeight="1" x14ac:dyDescent="0.25">
      <c r="A104" t="s">
        <v>739</v>
      </c>
      <c r="B104" t="s">
        <v>199</v>
      </c>
      <c r="C104">
        <v>542293</v>
      </c>
      <c r="D104" t="s">
        <v>562</v>
      </c>
      <c r="E104" t="s">
        <v>1082</v>
      </c>
      <c r="F104" t="s">
        <v>1083</v>
      </c>
      <c r="G104" t="s">
        <v>1084</v>
      </c>
      <c r="H104" t="s">
        <v>563</v>
      </c>
      <c r="I104" t="s">
        <v>560</v>
      </c>
      <c r="J104" t="s">
        <v>1085</v>
      </c>
      <c r="K104" t="s">
        <v>55</v>
      </c>
      <c r="L104" t="s">
        <v>55</v>
      </c>
      <c r="M104" t="s">
        <v>973</v>
      </c>
    </row>
    <row r="105" spans="1:13" ht="15" customHeight="1" x14ac:dyDescent="0.25">
      <c r="A105" t="s">
        <v>739</v>
      </c>
      <c r="B105" t="s">
        <v>199</v>
      </c>
      <c r="C105">
        <v>542371</v>
      </c>
      <c r="D105" t="s">
        <v>562</v>
      </c>
      <c r="E105" t="s">
        <v>1086</v>
      </c>
      <c r="F105" t="s">
        <v>564</v>
      </c>
      <c r="G105" t="s">
        <v>1087</v>
      </c>
      <c r="H105" t="s">
        <v>563</v>
      </c>
      <c r="I105" t="s">
        <v>560</v>
      </c>
      <c r="J105" t="s">
        <v>615</v>
      </c>
      <c r="K105" t="s">
        <v>55</v>
      </c>
      <c r="L105" t="s">
        <v>55</v>
      </c>
      <c r="M105" t="s">
        <v>1088</v>
      </c>
    </row>
    <row r="106" spans="1:13" ht="15" customHeight="1" x14ac:dyDescent="0.25">
      <c r="A106" t="s">
        <v>739</v>
      </c>
      <c r="B106" t="s">
        <v>199</v>
      </c>
      <c r="C106">
        <v>542491</v>
      </c>
      <c r="D106" t="s">
        <v>1089</v>
      </c>
      <c r="E106" t="s">
        <v>1090</v>
      </c>
      <c r="F106" t="s">
        <v>1091</v>
      </c>
      <c r="G106" t="s">
        <v>1092</v>
      </c>
      <c r="H106" t="s">
        <v>567</v>
      </c>
      <c r="I106" t="s">
        <v>560</v>
      </c>
      <c r="J106" t="s">
        <v>660</v>
      </c>
      <c r="K106" t="s">
        <v>55</v>
      </c>
      <c r="L106" t="s">
        <v>55</v>
      </c>
      <c r="M106" t="s">
        <v>752</v>
      </c>
    </row>
    <row r="107" spans="1:13" ht="15" customHeight="1" x14ac:dyDescent="0.25">
      <c r="A107" t="s">
        <v>739</v>
      </c>
      <c r="B107" t="s">
        <v>199</v>
      </c>
      <c r="C107">
        <v>542309</v>
      </c>
      <c r="D107" t="s">
        <v>566</v>
      </c>
      <c r="E107" t="s">
        <v>1093</v>
      </c>
      <c r="F107" t="s">
        <v>568</v>
      </c>
      <c r="G107" t="s">
        <v>1094</v>
      </c>
      <c r="H107" t="s">
        <v>567</v>
      </c>
      <c r="I107" t="s">
        <v>560</v>
      </c>
      <c r="J107" t="s">
        <v>609</v>
      </c>
      <c r="K107" t="s">
        <v>55</v>
      </c>
      <c r="L107" t="s">
        <v>55</v>
      </c>
      <c r="M107" t="s">
        <v>1088</v>
      </c>
    </row>
    <row r="108" spans="1:13" ht="15" customHeight="1" x14ac:dyDescent="0.25">
      <c r="A108" t="s">
        <v>739</v>
      </c>
      <c r="B108" t="s">
        <v>199</v>
      </c>
      <c r="C108">
        <v>542360</v>
      </c>
      <c r="D108" t="s">
        <v>1095</v>
      </c>
      <c r="E108" t="s">
        <v>1096</v>
      </c>
      <c r="F108" t="s">
        <v>1097</v>
      </c>
      <c r="G108" t="s">
        <v>1098</v>
      </c>
      <c r="H108" t="s">
        <v>911</v>
      </c>
      <c r="I108" t="s">
        <v>560</v>
      </c>
      <c r="J108" t="s">
        <v>615</v>
      </c>
      <c r="K108" t="s">
        <v>55</v>
      </c>
      <c r="L108" t="s">
        <v>55</v>
      </c>
      <c r="M108" t="s">
        <v>752</v>
      </c>
    </row>
    <row r="109" spans="1:13" ht="15" customHeight="1" x14ac:dyDescent="0.25">
      <c r="A109" t="s">
        <v>739</v>
      </c>
      <c r="B109" t="s">
        <v>199</v>
      </c>
      <c r="C109">
        <v>543925</v>
      </c>
      <c r="D109" t="s">
        <v>1099</v>
      </c>
      <c r="E109" t="s">
        <v>1100</v>
      </c>
      <c r="F109" t="s">
        <v>1101</v>
      </c>
      <c r="G109" t="s">
        <v>1102</v>
      </c>
      <c r="H109" t="s">
        <v>576</v>
      </c>
      <c r="I109" t="s">
        <v>560</v>
      </c>
      <c r="J109" t="s">
        <v>603</v>
      </c>
      <c r="K109" t="s">
        <v>55</v>
      </c>
      <c r="L109" t="s">
        <v>55</v>
      </c>
      <c r="M109" t="s">
        <v>1103</v>
      </c>
    </row>
    <row r="110" spans="1:13" ht="15" customHeight="1" x14ac:dyDescent="0.25">
      <c r="A110" t="s">
        <v>739</v>
      </c>
      <c r="B110" t="s">
        <v>199</v>
      </c>
      <c r="C110">
        <v>542373</v>
      </c>
      <c r="D110" t="s">
        <v>1104</v>
      </c>
      <c r="E110" t="s">
        <v>1105</v>
      </c>
      <c r="F110" t="s">
        <v>1106</v>
      </c>
      <c r="G110" t="s">
        <v>1107</v>
      </c>
      <c r="H110" t="s">
        <v>563</v>
      </c>
      <c r="I110" t="s">
        <v>560</v>
      </c>
      <c r="J110" t="s">
        <v>615</v>
      </c>
      <c r="K110" t="s">
        <v>55</v>
      </c>
      <c r="L110" t="s">
        <v>55</v>
      </c>
      <c r="M110" t="s">
        <v>752</v>
      </c>
    </row>
    <row r="111" spans="1:13" ht="15" customHeight="1" x14ac:dyDescent="0.25">
      <c r="A111" t="s">
        <v>739</v>
      </c>
      <c r="B111" t="s">
        <v>199</v>
      </c>
      <c r="C111">
        <v>542370</v>
      </c>
      <c r="D111" t="s">
        <v>1108</v>
      </c>
      <c r="E111" t="s">
        <v>1109</v>
      </c>
      <c r="F111" t="s">
        <v>1110</v>
      </c>
      <c r="G111" t="s">
        <v>1111</v>
      </c>
      <c r="H111" t="s">
        <v>571</v>
      </c>
      <c r="I111" t="s">
        <v>560</v>
      </c>
      <c r="J111" t="s">
        <v>689</v>
      </c>
      <c r="K111" t="s">
        <v>55</v>
      </c>
      <c r="L111" t="s">
        <v>55</v>
      </c>
      <c r="M111" t="s">
        <v>752</v>
      </c>
    </row>
    <row r="112" spans="1:13" ht="15" customHeight="1" x14ac:dyDescent="0.25">
      <c r="A112" t="s">
        <v>739</v>
      </c>
      <c r="B112" t="s">
        <v>199</v>
      </c>
      <c r="C112">
        <v>542589</v>
      </c>
      <c r="D112" t="s">
        <v>1112</v>
      </c>
      <c r="E112" t="s">
        <v>1113</v>
      </c>
      <c r="F112" t="s">
        <v>1114</v>
      </c>
      <c r="G112" t="s">
        <v>1115</v>
      </c>
      <c r="H112" t="s">
        <v>911</v>
      </c>
      <c r="I112" t="s">
        <v>560</v>
      </c>
      <c r="J112" t="s">
        <v>1116</v>
      </c>
      <c r="K112" t="s">
        <v>55</v>
      </c>
      <c r="L112" t="s">
        <v>55</v>
      </c>
      <c r="M112" t="s">
        <v>787</v>
      </c>
    </row>
    <row r="113" spans="1:13" ht="15" customHeight="1" x14ac:dyDescent="0.25">
      <c r="A113" t="s">
        <v>739</v>
      </c>
      <c r="B113" t="s">
        <v>199</v>
      </c>
      <c r="C113">
        <v>542350</v>
      </c>
      <c r="D113" t="s">
        <v>1117</v>
      </c>
      <c r="E113" t="s">
        <v>1118</v>
      </c>
      <c r="F113" t="s">
        <v>1119</v>
      </c>
      <c r="G113" t="s">
        <v>1120</v>
      </c>
      <c r="H113" t="s">
        <v>889</v>
      </c>
      <c r="I113" t="s">
        <v>560</v>
      </c>
      <c r="J113" t="s">
        <v>927</v>
      </c>
      <c r="K113" t="s">
        <v>55</v>
      </c>
      <c r="L113" t="s">
        <v>55</v>
      </c>
      <c r="M113" t="s">
        <v>752</v>
      </c>
    </row>
    <row r="114" spans="1:13" ht="15" customHeight="1" x14ac:dyDescent="0.25">
      <c r="A114" t="s">
        <v>739</v>
      </c>
      <c r="B114" t="s">
        <v>199</v>
      </c>
      <c r="C114">
        <v>543869</v>
      </c>
      <c r="D114" t="s">
        <v>1121</v>
      </c>
      <c r="E114" t="s">
        <v>1122</v>
      </c>
      <c r="F114" t="s">
        <v>1123</v>
      </c>
      <c r="G114" t="s">
        <v>1124</v>
      </c>
      <c r="H114" t="s">
        <v>576</v>
      </c>
      <c r="I114" t="s">
        <v>560</v>
      </c>
      <c r="J114" t="s">
        <v>603</v>
      </c>
      <c r="K114" t="s">
        <v>55</v>
      </c>
      <c r="L114" t="s">
        <v>55</v>
      </c>
      <c r="M114" t="s">
        <v>752</v>
      </c>
    </row>
    <row r="115" spans="1:13" ht="15" customHeight="1" x14ac:dyDescent="0.25">
      <c r="A115" t="s">
        <v>739</v>
      </c>
      <c r="B115" t="s">
        <v>199</v>
      </c>
      <c r="C115">
        <v>542385</v>
      </c>
      <c r="D115" t="s">
        <v>1125</v>
      </c>
      <c r="E115" t="s">
        <v>1126</v>
      </c>
      <c r="F115" t="s">
        <v>1127</v>
      </c>
      <c r="G115" t="s">
        <v>1128</v>
      </c>
      <c r="H115" t="s">
        <v>792</v>
      </c>
      <c r="I115" t="s">
        <v>560</v>
      </c>
      <c r="J115" t="s">
        <v>1129</v>
      </c>
      <c r="K115" t="s">
        <v>55</v>
      </c>
      <c r="L115" t="s">
        <v>55</v>
      </c>
      <c r="M115" t="s">
        <v>787</v>
      </c>
    </row>
    <row r="116" spans="1:13" ht="15" customHeight="1" x14ac:dyDescent="0.25">
      <c r="A116" t="s">
        <v>739</v>
      </c>
      <c r="B116" t="s">
        <v>199</v>
      </c>
      <c r="C116">
        <v>542397</v>
      </c>
      <c r="D116" t="s">
        <v>1125</v>
      </c>
      <c r="E116" t="s">
        <v>1130</v>
      </c>
      <c r="F116" t="s">
        <v>1131</v>
      </c>
      <c r="G116" t="s">
        <v>1132</v>
      </c>
      <c r="H116" t="s">
        <v>792</v>
      </c>
      <c r="I116" t="s">
        <v>560</v>
      </c>
      <c r="J116" t="s">
        <v>603</v>
      </c>
      <c r="K116" t="s">
        <v>55</v>
      </c>
      <c r="L116" t="s">
        <v>55</v>
      </c>
      <c r="M116" t="s">
        <v>778</v>
      </c>
    </row>
    <row r="117" spans="1:13" ht="15" customHeight="1" x14ac:dyDescent="0.25">
      <c r="A117" t="s">
        <v>739</v>
      </c>
      <c r="B117" t="s">
        <v>199</v>
      </c>
      <c r="C117">
        <v>542289</v>
      </c>
      <c r="D117" t="s">
        <v>1133</v>
      </c>
      <c r="E117" t="s">
        <v>1134</v>
      </c>
      <c r="F117" t="s">
        <v>1135</v>
      </c>
      <c r="G117" t="s">
        <v>1136</v>
      </c>
      <c r="H117" t="s">
        <v>576</v>
      </c>
      <c r="I117" t="s">
        <v>560</v>
      </c>
      <c r="J117" t="s">
        <v>615</v>
      </c>
      <c r="K117" t="s">
        <v>55</v>
      </c>
      <c r="L117" t="s">
        <v>55</v>
      </c>
      <c r="M117" t="s">
        <v>1103</v>
      </c>
    </row>
    <row r="118" spans="1:13" ht="15" customHeight="1" x14ac:dyDescent="0.25">
      <c r="A118" t="s">
        <v>739</v>
      </c>
      <c r="B118" t="s">
        <v>199</v>
      </c>
      <c r="C118">
        <v>542313</v>
      </c>
      <c r="D118" t="s">
        <v>1137</v>
      </c>
      <c r="E118" t="s">
        <v>1138</v>
      </c>
      <c r="F118" t="s">
        <v>1139</v>
      </c>
      <c r="G118" t="s">
        <v>1140</v>
      </c>
      <c r="H118" t="s">
        <v>576</v>
      </c>
      <c r="I118" t="s">
        <v>560</v>
      </c>
      <c r="J118" t="s">
        <v>1141</v>
      </c>
      <c r="K118" t="s">
        <v>55</v>
      </c>
      <c r="L118" t="s">
        <v>55</v>
      </c>
      <c r="M118" t="s">
        <v>1142</v>
      </c>
    </row>
    <row r="119" spans="1:13" ht="15" customHeight="1" x14ac:dyDescent="0.25">
      <c r="A119" t="s">
        <v>739</v>
      </c>
      <c r="B119" t="s">
        <v>199</v>
      </c>
      <c r="C119">
        <v>542320</v>
      </c>
      <c r="D119" t="s">
        <v>1143</v>
      </c>
      <c r="E119" t="s">
        <v>1144</v>
      </c>
      <c r="F119" t="s">
        <v>1145</v>
      </c>
      <c r="G119" t="s">
        <v>1146</v>
      </c>
      <c r="H119" t="s">
        <v>563</v>
      </c>
      <c r="I119" t="s">
        <v>560</v>
      </c>
      <c r="J119" t="s">
        <v>689</v>
      </c>
      <c r="K119" t="s">
        <v>55</v>
      </c>
      <c r="L119" t="s">
        <v>55</v>
      </c>
      <c r="M119" t="s">
        <v>1147</v>
      </c>
    </row>
    <row r="120" spans="1:13" ht="15" customHeight="1" x14ac:dyDescent="0.25">
      <c r="A120" t="s">
        <v>739</v>
      </c>
      <c r="B120" t="s">
        <v>199</v>
      </c>
      <c r="C120">
        <v>542237</v>
      </c>
      <c r="D120" t="s">
        <v>1148</v>
      </c>
      <c r="E120" t="s">
        <v>1149</v>
      </c>
      <c r="F120" t="s">
        <v>1150</v>
      </c>
      <c r="G120" t="s">
        <v>1151</v>
      </c>
      <c r="H120" t="s">
        <v>757</v>
      </c>
      <c r="I120" t="s">
        <v>560</v>
      </c>
      <c r="J120" t="s">
        <v>1152</v>
      </c>
      <c r="K120" t="s">
        <v>55</v>
      </c>
      <c r="L120" t="s">
        <v>55</v>
      </c>
      <c r="M120" t="s">
        <v>1040</v>
      </c>
    </row>
    <row r="121" spans="1:13" ht="15" customHeight="1" x14ac:dyDescent="0.25">
      <c r="A121" t="s">
        <v>739</v>
      </c>
      <c r="B121" t="s">
        <v>199</v>
      </c>
      <c r="C121">
        <v>542236</v>
      </c>
      <c r="D121" t="s">
        <v>1148</v>
      </c>
      <c r="E121" t="s">
        <v>1153</v>
      </c>
      <c r="F121" t="s">
        <v>1154</v>
      </c>
      <c r="G121" t="s">
        <v>1155</v>
      </c>
      <c r="H121" t="s">
        <v>757</v>
      </c>
      <c r="I121" t="s">
        <v>560</v>
      </c>
      <c r="J121" t="s">
        <v>1156</v>
      </c>
      <c r="K121" t="s">
        <v>55</v>
      </c>
      <c r="L121" t="s">
        <v>55</v>
      </c>
      <c r="M121" t="s">
        <v>827</v>
      </c>
    </row>
    <row r="122" spans="1:13" ht="15" customHeight="1" x14ac:dyDescent="0.25">
      <c r="A122" t="s">
        <v>739</v>
      </c>
      <c r="B122" t="s">
        <v>199</v>
      </c>
      <c r="C122">
        <v>542325</v>
      </c>
      <c r="D122" t="s">
        <v>1157</v>
      </c>
      <c r="E122" t="s">
        <v>1158</v>
      </c>
      <c r="F122" t="s">
        <v>1159</v>
      </c>
      <c r="G122" t="s">
        <v>1160</v>
      </c>
      <c r="H122" t="s">
        <v>567</v>
      </c>
      <c r="I122" t="s">
        <v>560</v>
      </c>
      <c r="J122" t="s">
        <v>1161</v>
      </c>
      <c r="K122" t="s">
        <v>55</v>
      </c>
      <c r="L122" t="s">
        <v>55</v>
      </c>
      <c r="M122" t="s">
        <v>752</v>
      </c>
    </row>
    <row r="123" spans="1:13" ht="15" customHeight="1" x14ac:dyDescent="0.25">
      <c r="A123" t="s">
        <v>739</v>
      </c>
      <c r="B123" t="s">
        <v>199</v>
      </c>
      <c r="C123">
        <v>542209</v>
      </c>
      <c r="D123" t="s">
        <v>1162</v>
      </c>
      <c r="E123" t="s">
        <v>1163</v>
      </c>
      <c r="F123" t="s">
        <v>1164</v>
      </c>
      <c r="G123" t="s">
        <v>1165</v>
      </c>
      <c r="H123" t="s">
        <v>999</v>
      </c>
      <c r="I123" t="s">
        <v>560</v>
      </c>
      <c r="J123" t="s">
        <v>596</v>
      </c>
      <c r="K123" t="s">
        <v>55</v>
      </c>
      <c r="L123" t="s">
        <v>55</v>
      </c>
      <c r="M123" t="s">
        <v>1045</v>
      </c>
    </row>
    <row r="124" spans="1:13" ht="15" customHeight="1" x14ac:dyDescent="0.25">
      <c r="A124" t="s">
        <v>739</v>
      </c>
      <c r="B124" t="s">
        <v>199</v>
      </c>
      <c r="C124">
        <v>542470</v>
      </c>
      <c r="D124" t="s">
        <v>1166</v>
      </c>
      <c r="E124" t="s">
        <v>1167</v>
      </c>
      <c r="F124" t="s">
        <v>1168</v>
      </c>
      <c r="G124" t="s">
        <v>1169</v>
      </c>
      <c r="H124" t="s">
        <v>757</v>
      </c>
      <c r="I124" t="s">
        <v>560</v>
      </c>
      <c r="J124" t="s">
        <v>1170</v>
      </c>
      <c r="K124" t="s">
        <v>55</v>
      </c>
      <c r="L124" t="s">
        <v>55</v>
      </c>
      <c r="M124" t="s">
        <v>758</v>
      </c>
    </row>
    <row r="125" spans="1:13" ht="15" customHeight="1" x14ac:dyDescent="0.25">
      <c r="A125" t="s">
        <v>739</v>
      </c>
      <c r="B125" t="s">
        <v>199</v>
      </c>
      <c r="C125">
        <v>542308</v>
      </c>
      <c r="D125" t="s">
        <v>1171</v>
      </c>
      <c r="E125" t="s">
        <v>1172</v>
      </c>
      <c r="F125" t="s">
        <v>1173</v>
      </c>
      <c r="G125" t="s">
        <v>1174</v>
      </c>
      <c r="H125" t="s">
        <v>911</v>
      </c>
      <c r="I125" t="s">
        <v>560</v>
      </c>
      <c r="J125" t="s">
        <v>609</v>
      </c>
      <c r="K125" t="s">
        <v>55</v>
      </c>
      <c r="L125" t="s">
        <v>55</v>
      </c>
      <c r="M125" t="s">
        <v>815</v>
      </c>
    </row>
    <row r="126" spans="1:13" ht="15" customHeight="1" x14ac:dyDescent="0.25">
      <c r="A126" t="s">
        <v>739</v>
      </c>
      <c r="B126" t="s">
        <v>199</v>
      </c>
      <c r="C126">
        <v>542352</v>
      </c>
      <c r="D126" t="s">
        <v>1175</v>
      </c>
      <c r="E126" t="s">
        <v>1176</v>
      </c>
      <c r="F126" t="s">
        <v>1177</v>
      </c>
      <c r="G126" t="s">
        <v>1178</v>
      </c>
      <c r="H126" t="s">
        <v>571</v>
      </c>
      <c r="I126" t="s">
        <v>560</v>
      </c>
      <c r="J126" t="s">
        <v>603</v>
      </c>
      <c r="K126" t="s">
        <v>55</v>
      </c>
      <c r="L126" t="s">
        <v>55</v>
      </c>
      <c r="M126" t="s">
        <v>765</v>
      </c>
    </row>
    <row r="127" spans="1:13" ht="15" customHeight="1" x14ac:dyDescent="0.25">
      <c r="A127" t="s">
        <v>739</v>
      </c>
      <c r="B127" t="s">
        <v>199</v>
      </c>
      <c r="C127">
        <v>543429</v>
      </c>
      <c r="D127" t="s">
        <v>1175</v>
      </c>
      <c r="E127" t="s">
        <v>1179</v>
      </c>
      <c r="F127" t="s">
        <v>1180</v>
      </c>
      <c r="G127" t="s">
        <v>1181</v>
      </c>
      <c r="H127" t="s">
        <v>571</v>
      </c>
      <c r="I127" t="s">
        <v>560</v>
      </c>
      <c r="J127" t="s">
        <v>1182</v>
      </c>
      <c r="K127" t="s">
        <v>55</v>
      </c>
      <c r="L127" t="s">
        <v>55</v>
      </c>
      <c r="M127" t="s">
        <v>752</v>
      </c>
    </row>
    <row r="128" spans="1:13" ht="15" customHeight="1" x14ac:dyDescent="0.25">
      <c r="A128" t="s">
        <v>739</v>
      </c>
      <c r="B128" t="s">
        <v>199</v>
      </c>
      <c r="C128">
        <v>543249</v>
      </c>
      <c r="D128" t="s">
        <v>1183</v>
      </c>
      <c r="E128" t="s">
        <v>1184</v>
      </c>
      <c r="F128" t="s">
        <v>1185</v>
      </c>
      <c r="G128" t="s">
        <v>1186</v>
      </c>
      <c r="H128" t="s">
        <v>757</v>
      </c>
      <c r="I128" t="s">
        <v>560</v>
      </c>
      <c r="J128" t="s">
        <v>615</v>
      </c>
      <c r="K128" t="s">
        <v>55</v>
      </c>
      <c r="L128" t="s">
        <v>55</v>
      </c>
      <c r="M128" t="s">
        <v>787</v>
      </c>
    </row>
    <row r="129" spans="1:13" ht="15" customHeight="1" x14ac:dyDescent="0.25">
      <c r="A129" t="s">
        <v>739</v>
      </c>
      <c r="B129" t="s">
        <v>199</v>
      </c>
      <c r="C129">
        <v>543027</v>
      </c>
      <c r="D129" t="s">
        <v>1187</v>
      </c>
      <c r="E129" t="s">
        <v>1188</v>
      </c>
      <c r="F129" t="s">
        <v>1189</v>
      </c>
      <c r="G129" t="s">
        <v>1190</v>
      </c>
      <c r="H129" t="s">
        <v>911</v>
      </c>
      <c r="I129" t="s">
        <v>560</v>
      </c>
      <c r="J129" t="s">
        <v>631</v>
      </c>
      <c r="K129" t="s">
        <v>55</v>
      </c>
      <c r="L129" t="s">
        <v>55</v>
      </c>
      <c r="M129" t="s">
        <v>912</v>
      </c>
    </row>
    <row r="130" spans="1:13" ht="15" customHeight="1" x14ac:dyDescent="0.25">
      <c r="A130" t="s">
        <v>739</v>
      </c>
      <c r="B130" t="s">
        <v>199</v>
      </c>
      <c r="C130">
        <v>542244</v>
      </c>
      <c r="D130" t="s">
        <v>1191</v>
      </c>
      <c r="E130" t="s">
        <v>1192</v>
      </c>
      <c r="F130" t="s">
        <v>1193</v>
      </c>
      <c r="G130" t="s">
        <v>1194</v>
      </c>
      <c r="H130" t="s">
        <v>744</v>
      </c>
      <c r="I130" t="s">
        <v>560</v>
      </c>
      <c r="J130" t="s">
        <v>660</v>
      </c>
      <c r="K130" t="s">
        <v>55</v>
      </c>
      <c r="L130" t="s">
        <v>55</v>
      </c>
      <c r="M130" t="s">
        <v>1013</v>
      </c>
    </row>
    <row r="131" spans="1:13" ht="15" customHeight="1" x14ac:dyDescent="0.25">
      <c r="A131" t="s">
        <v>739</v>
      </c>
      <c r="B131" t="s">
        <v>199</v>
      </c>
      <c r="C131">
        <v>542349</v>
      </c>
      <c r="D131" t="s">
        <v>1195</v>
      </c>
      <c r="E131" t="s">
        <v>1196</v>
      </c>
      <c r="F131" t="s">
        <v>1197</v>
      </c>
      <c r="G131" t="s">
        <v>1198</v>
      </c>
      <c r="H131" t="s">
        <v>1199</v>
      </c>
      <c r="I131" t="s">
        <v>560</v>
      </c>
      <c r="J131" t="s">
        <v>927</v>
      </c>
      <c r="K131" t="s">
        <v>55</v>
      </c>
      <c r="L131" t="s">
        <v>55</v>
      </c>
      <c r="M131" t="s">
        <v>804</v>
      </c>
    </row>
    <row r="132" spans="1:13" ht="15" customHeight="1" x14ac:dyDescent="0.25">
      <c r="A132" t="s">
        <v>739</v>
      </c>
      <c r="B132" t="s">
        <v>199</v>
      </c>
      <c r="C132">
        <v>542329</v>
      </c>
      <c r="D132" t="s">
        <v>1200</v>
      </c>
      <c r="E132" t="s">
        <v>1201</v>
      </c>
      <c r="F132" t="s">
        <v>1202</v>
      </c>
      <c r="G132" t="s">
        <v>1203</v>
      </c>
      <c r="H132" t="s">
        <v>849</v>
      </c>
      <c r="I132" t="s">
        <v>560</v>
      </c>
      <c r="J132" t="s">
        <v>689</v>
      </c>
      <c r="K132" t="s">
        <v>55</v>
      </c>
      <c r="L132" t="s">
        <v>55</v>
      </c>
      <c r="M132" t="s">
        <v>844</v>
      </c>
    </row>
    <row r="133" spans="1:13" ht="15" customHeight="1" x14ac:dyDescent="0.25">
      <c r="A133" t="s">
        <v>739</v>
      </c>
      <c r="B133" t="s">
        <v>199</v>
      </c>
      <c r="C133">
        <v>542238</v>
      </c>
      <c r="D133" t="s">
        <v>1204</v>
      </c>
      <c r="E133" t="s">
        <v>1205</v>
      </c>
      <c r="F133" t="s">
        <v>1206</v>
      </c>
      <c r="G133" t="s">
        <v>1207</v>
      </c>
      <c r="H133" t="s">
        <v>911</v>
      </c>
      <c r="I133" t="s">
        <v>560</v>
      </c>
      <c r="J133" t="s">
        <v>1035</v>
      </c>
      <c r="K133" t="s">
        <v>55</v>
      </c>
      <c r="L133" t="s">
        <v>55</v>
      </c>
      <c r="M133" t="s">
        <v>1208</v>
      </c>
    </row>
    <row r="134" spans="1:13" ht="15" customHeight="1" x14ac:dyDescent="0.25">
      <c r="A134" t="s">
        <v>739</v>
      </c>
      <c r="B134" t="s">
        <v>199</v>
      </c>
      <c r="C134">
        <v>542387</v>
      </c>
      <c r="D134" t="s">
        <v>1209</v>
      </c>
      <c r="E134" t="s">
        <v>1210</v>
      </c>
      <c r="F134" t="s">
        <v>1211</v>
      </c>
      <c r="G134" t="s">
        <v>1212</v>
      </c>
      <c r="H134" t="s">
        <v>757</v>
      </c>
      <c r="I134" t="s">
        <v>560</v>
      </c>
      <c r="J134" t="s">
        <v>603</v>
      </c>
      <c r="K134" t="s">
        <v>55</v>
      </c>
      <c r="L134" t="s">
        <v>55</v>
      </c>
      <c r="M134" t="s">
        <v>765</v>
      </c>
    </row>
    <row r="135" spans="1:13" ht="15" customHeight="1" x14ac:dyDescent="0.25">
      <c r="A135" t="s">
        <v>739</v>
      </c>
      <c r="B135" t="s">
        <v>199</v>
      </c>
      <c r="C135">
        <v>542299</v>
      </c>
      <c r="D135" t="s">
        <v>1213</v>
      </c>
      <c r="E135" t="s">
        <v>1214</v>
      </c>
      <c r="F135" t="s">
        <v>1215</v>
      </c>
      <c r="G135" t="s">
        <v>1216</v>
      </c>
      <c r="H135" t="s">
        <v>889</v>
      </c>
      <c r="I135" t="s">
        <v>560</v>
      </c>
      <c r="J135" t="s">
        <v>603</v>
      </c>
      <c r="K135" t="s">
        <v>55</v>
      </c>
      <c r="L135" t="s">
        <v>55</v>
      </c>
      <c r="M135" t="s">
        <v>884</v>
      </c>
    </row>
    <row r="136" spans="1:13" ht="15" customHeight="1" x14ac:dyDescent="0.25">
      <c r="A136" t="s">
        <v>739</v>
      </c>
      <c r="B136" t="s">
        <v>199</v>
      </c>
      <c r="C136">
        <v>542369</v>
      </c>
      <c r="D136" t="s">
        <v>1217</v>
      </c>
      <c r="E136" t="s">
        <v>914</v>
      </c>
      <c r="F136" t="s">
        <v>1218</v>
      </c>
      <c r="G136" t="s">
        <v>1219</v>
      </c>
      <c r="H136" t="s">
        <v>1199</v>
      </c>
      <c r="I136" t="s">
        <v>560</v>
      </c>
      <c r="J136" t="s">
        <v>1220</v>
      </c>
      <c r="K136" t="s">
        <v>55</v>
      </c>
      <c r="L136" t="s">
        <v>55</v>
      </c>
      <c r="M136" t="s">
        <v>815</v>
      </c>
    </row>
    <row r="137" spans="1:13" ht="15" customHeight="1" x14ac:dyDescent="0.25">
      <c r="A137" t="s">
        <v>739</v>
      </c>
      <c r="B137" t="s">
        <v>199</v>
      </c>
      <c r="C137">
        <v>542384</v>
      </c>
      <c r="D137" t="s">
        <v>1221</v>
      </c>
      <c r="E137" t="s">
        <v>1222</v>
      </c>
      <c r="F137" t="s">
        <v>1223</v>
      </c>
      <c r="G137" t="s">
        <v>1224</v>
      </c>
      <c r="H137" t="s">
        <v>576</v>
      </c>
      <c r="I137" t="s">
        <v>560</v>
      </c>
      <c r="J137" t="s">
        <v>770</v>
      </c>
      <c r="K137" t="s">
        <v>55</v>
      </c>
      <c r="L137" t="s">
        <v>55</v>
      </c>
      <c r="M137" t="s">
        <v>1225</v>
      </c>
    </row>
    <row r="138" spans="1:13" ht="15" customHeight="1" x14ac:dyDescent="0.25">
      <c r="A138" t="s">
        <v>739</v>
      </c>
      <c r="B138" t="s">
        <v>199</v>
      </c>
      <c r="C138">
        <v>542378</v>
      </c>
      <c r="D138" t="s">
        <v>1226</v>
      </c>
      <c r="E138" t="s">
        <v>732</v>
      </c>
      <c r="F138" t="s">
        <v>1227</v>
      </c>
      <c r="G138" t="s">
        <v>1228</v>
      </c>
      <c r="H138" t="s">
        <v>576</v>
      </c>
      <c r="I138" t="s">
        <v>560</v>
      </c>
      <c r="J138" t="s">
        <v>620</v>
      </c>
      <c r="K138" t="s">
        <v>55</v>
      </c>
      <c r="L138" t="s">
        <v>55</v>
      </c>
      <c r="M138" t="s">
        <v>1147</v>
      </c>
    </row>
    <row r="139" spans="1:13" ht="15" customHeight="1" x14ac:dyDescent="0.25">
      <c r="A139" t="s">
        <v>739</v>
      </c>
      <c r="B139" t="s">
        <v>199</v>
      </c>
      <c r="C139">
        <v>542386</v>
      </c>
      <c r="D139" t="s">
        <v>1229</v>
      </c>
      <c r="E139" t="s">
        <v>1230</v>
      </c>
      <c r="F139" t="s">
        <v>1231</v>
      </c>
      <c r="G139" t="s">
        <v>1232</v>
      </c>
      <c r="H139" t="s">
        <v>757</v>
      </c>
      <c r="I139" t="s">
        <v>560</v>
      </c>
      <c r="J139" t="s">
        <v>660</v>
      </c>
      <c r="K139" t="s">
        <v>55</v>
      </c>
      <c r="L139" t="s">
        <v>55</v>
      </c>
      <c r="M139" t="s">
        <v>787</v>
      </c>
    </row>
    <row r="140" spans="1:13" ht="15" customHeight="1" x14ac:dyDescent="0.25">
      <c r="A140" t="s">
        <v>739</v>
      </c>
      <c r="B140" t="s">
        <v>199</v>
      </c>
      <c r="C140">
        <v>542489</v>
      </c>
      <c r="D140" t="s">
        <v>1233</v>
      </c>
      <c r="E140" t="s">
        <v>1234</v>
      </c>
      <c r="F140" t="s">
        <v>1235</v>
      </c>
      <c r="G140" t="s">
        <v>1236</v>
      </c>
      <c r="H140" t="s">
        <v>792</v>
      </c>
      <c r="I140" t="s">
        <v>560</v>
      </c>
      <c r="J140" t="s">
        <v>615</v>
      </c>
      <c r="K140" t="s">
        <v>55</v>
      </c>
      <c r="L140" t="s">
        <v>55</v>
      </c>
      <c r="M140" t="s">
        <v>1237</v>
      </c>
    </row>
    <row r="141" spans="1:13" ht="15" customHeight="1" x14ac:dyDescent="0.25">
      <c r="A141" t="s">
        <v>739</v>
      </c>
      <c r="B141" t="s">
        <v>199</v>
      </c>
      <c r="C141">
        <v>542317</v>
      </c>
      <c r="D141" t="s">
        <v>1238</v>
      </c>
      <c r="E141" t="s">
        <v>1239</v>
      </c>
      <c r="F141" t="s">
        <v>1240</v>
      </c>
      <c r="G141" t="s">
        <v>1241</v>
      </c>
      <c r="H141" t="s">
        <v>757</v>
      </c>
      <c r="I141" t="s">
        <v>560</v>
      </c>
      <c r="J141" t="s">
        <v>1242</v>
      </c>
      <c r="K141" t="s">
        <v>55</v>
      </c>
      <c r="L141" t="s">
        <v>55</v>
      </c>
      <c r="M141" t="s">
        <v>787</v>
      </c>
    </row>
    <row r="142" spans="1:13" ht="15" customHeight="1" x14ac:dyDescent="0.25">
      <c r="A142" t="s">
        <v>739</v>
      </c>
      <c r="B142" t="s">
        <v>199</v>
      </c>
      <c r="C142">
        <v>542469</v>
      </c>
      <c r="D142" t="s">
        <v>1243</v>
      </c>
      <c r="E142" t="s">
        <v>1244</v>
      </c>
      <c r="F142" t="s">
        <v>1245</v>
      </c>
      <c r="G142" t="s">
        <v>1246</v>
      </c>
      <c r="H142" t="s">
        <v>563</v>
      </c>
      <c r="I142" t="s">
        <v>560</v>
      </c>
      <c r="J142" t="s">
        <v>603</v>
      </c>
      <c r="K142" t="s">
        <v>55</v>
      </c>
      <c r="L142" t="s">
        <v>55</v>
      </c>
      <c r="M142" t="s">
        <v>884</v>
      </c>
    </row>
    <row r="143" spans="1:13" ht="15" customHeight="1" x14ac:dyDescent="0.25">
      <c r="A143" t="s">
        <v>739</v>
      </c>
      <c r="B143" t="s">
        <v>199</v>
      </c>
      <c r="C143">
        <v>542245</v>
      </c>
      <c r="D143" t="s">
        <v>1247</v>
      </c>
      <c r="E143" t="s">
        <v>1248</v>
      </c>
      <c r="F143" t="s">
        <v>1249</v>
      </c>
      <c r="G143" t="s">
        <v>1250</v>
      </c>
      <c r="H143" t="s">
        <v>744</v>
      </c>
      <c r="I143" t="s">
        <v>560</v>
      </c>
      <c r="J143" t="s">
        <v>615</v>
      </c>
      <c r="K143" t="s">
        <v>55</v>
      </c>
      <c r="L143" t="s">
        <v>55</v>
      </c>
      <c r="M143" t="s">
        <v>827</v>
      </c>
    </row>
    <row r="144" spans="1:13" ht="15" customHeight="1" x14ac:dyDescent="0.25">
      <c r="A144" t="s">
        <v>739</v>
      </c>
      <c r="B144" t="s">
        <v>199</v>
      </c>
      <c r="C144">
        <v>542372</v>
      </c>
      <c r="D144" t="s">
        <v>1251</v>
      </c>
      <c r="E144" t="s">
        <v>1252</v>
      </c>
      <c r="F144" t="s">
        <v>1253</v>
      </c>
      <c r="G144" t="s">
        <v>1254</v>
      </c>
      <c r="H144" t="s">
        <v>576</v>
      </c>
      <c r="I144" t="s">
        <v>560</v>
      </c>
      <c r="J144" t="s">
        <v>615</v>
      </c>
      <c r="K144" t="s">
        <v>55</v>
      </c>
      <c r="L144" t="s">
        <v>55</v>
      </c>
      <c r="M144" t="s">
        <v>787</v>
      </c>
    </row>
    <row r="145" spans="1:13" ht="15" customHeight="1" x14ac:dyDescent="0.25">
      <c r="A145" t="s">
        <v>739</v>
      </c>
      <c r="B145" t="s">
        <v>199</v>
      </c>
      <c r="C145">
        <v>542321</v>
      </c>
      <c r="D145" t="s">
        <v>1255</v>
      </c>
      <c r="E145" t="s">
        <v>1256</v>
      </c>
      <c r="F145" t="s">
        <v>1257</v>
      </c>
      <c r="G145" t="s">
        <v>1258</v>
      </c>
      <c r="H145" t="s">
        <v>792</v>
      </c>
      <c r="I145" t="s">
        <v>560</v>
      </c>
      <c r="J145" t="s">
        <v>631</v>
      </c>
      <c r="K145" t="s">
        <v>55</v>
      </c>
      <c r="L145" t="s">
        <v>55</v>
      </c>
      <c r="M145" t="s">
        <v>752</v>
      </c>
    </row>
    <row r="146" spans="1:13" ht="15" customHeight="1" x14ac:dyDescent="0.25">
      <c r="A146" t="s">
        <v>739</v>
      </c>
      <c r="B146" t="s">
        <v>199</v>
      </c>
      <c r="C146">
        <v>542379</v>
      </c>
      <c r="D146" t="s">
        <v>1259</v>
      </c>
      <c r="E146" t="s">
        <v>1260</v>
      </c>
      <c r="F146" t="s">
        <v>1261</v>
      </c>
      <c r="G146" t="s">
        <v>1262</v>
      </c>
      <c r="H146" t="s">
        <v>776</v>
      </c>
      <c r="I146" t="s">
        <v>560</v>
      </c>
      <c r="J146" t="s">
        <v>1263</v>
      </c>
      <c r="K146" t="s">
        <v>55</v>
      </c>
      <c r="L146" t="s">
        <v>55</v>
      </c>
      <c r="M146" t="s">
        <v>752</v>
      </c>
    </row>
    <row r="147" spans="1:13" ht="15" customHeight="1" x14ac:dyDescent="0.25">
      <c r="A147" t="s">
        <v>739</v>
      </c>
      <c r="B147" t="s">
        <v>199</v>
      </c>
      <c r="C147">
        <v>542328</v>
      </c>
      <c r="D147" t="s">
        <v>1264</v>
      </c>
      <c r="E147" t="s">
        <v>1265</v>
      </c>
      <c r="F147" t="s">
        <v>1266</v>
      </c>
      <c r="G147" t="s">
        <v>1267</v>
      </c>
      <c r="H147" t="s">
        <v>1050</v>
      </c>
      <c r="I147" t="s">
        <v>560</v>
      </c>
      <c r="J147" t="s">
        <v>922</v>
      </c>
      <c r="K147" t="s">
        <v>55</v>
      </c>
      <c r="L147" t="s">
        <v>55</v>
      </c>
      <c r="M147" t="s">
        <v>752</v>
      </c>
    </row>
    <row r="148" spans="1:13" ht="15" customHeight="1" x14ac:dyDescent="0.25">
      <c r="A148" t="s">
        <v>739</v>
      </c>
      <c r="B148" t="s">
        <v>199</v>
      </c>
      <c r="C148">
        <v>542234</v>
      </c>
      <c r="D148" t="s">
        <v>1268</v>
      </c>
      <c r="E148" t="s">
        <v>1269</v>
      </c>
      <c r="F148" t="s">
        <v>1270</v>
      </c>
      <c r="G148" t="s">
        <v>1271</v>
      </c>
      <c r="H148" t="s">
        <v>558</v>
      </c>
      <c r="I148" t="s">
        <v>560</v>
      </c>
      <c r="J148" t="s">
        <v>1272</v>
      </c>
      <c r="K148" t="s">
        <v>55</v>
      </c>
      <c r="L148" t="s">
        <v>55</v>
      </c>
      <c r="M148" t="s">
        <v>1273</v>
      </c>
    </row>
    <row r="149" spans="1:13" ht="15" customHeight="1" x14ac:dyDescent="0.25">
      <c r="A149" t="s">
        <v>739</v>
      </c>
      <c r="B149" t="s">
        <v>199</v>
      </c>
      <c r="C149">
        <v>542292</v>
      </c>
      <c r="D149" t="s">
        <v>1274</v>
      </c>
      <c r="E149" t="s">
        <v>1275</v>
      </c>
      <c r="F149" t="s">
        <v>1276</v>
      </c>
      <c r="G149" t="s">
        <v>1277</v>
      </c>
      <c r="H149" t="s">
        <v>1278</v>
      </c>
      <c r="I149" t="s">
        <v>560</v>
      </c>
      <c r="J149" t="s">
        <v>615</v>
      </c>
      <c r="K149" t="s">
        <v>55</v>
      </c>
      <c r="L149" t="s">
        <v>55</v>
      </c>
      <c r="M149" t="s">
        <v>1279</v>
      </c>
    </row>
    <row r="150" spans="1:13" ht="15" customHeight="1" x14ac:dyDescent="0.25">
      <c r="A150" t="s">
        <v>739</v>
      </c>
      <c r="B150" t="s">
        <v>199</v>
      </c>
      <c r="C150">
        <v>542228</v>
      </c>
      <c r="D150" t="s">
        <v>1280</v>
      </c>
      <c r="E150" t="s">
        <v>1281</v>
      </c>
      <c r="F150" t="s">
        <v>1282</v>
      </c>
      <c r="G150" t="s">
        <v>1283</v>
      </c>
      <c r="H150" t="s">
        <v>792</v>
      </c>
      <c r="I150" t="s">
        <v>560</v>
      </c>
      <c r="J150" t="s">
        <v>620</v>
      </c>
      <c r="K150" t="s">
        <v>55</v>
      </c>
      <c r="L150" t="s">
        <v>55</v>
      </c>
      <c r="M150" t="s">
        <v>827</v>
      </c>
    </row>
    <row r="151" spans="1:13" ht="15" customHeight="1" x14ac:dyDescent="0.25">
      <c r="A151" t="s">
        <v>739</v>
      </c>
      <c r="B151" t="s">
        <v>199</v>
      </c>
      <c r="C151">
        <v>542391</v>
      </c>
      <c r="D151" t="s">
        <v>1284</v>
      </c>
      <c r="E151" t="s">
        <v>881</v>
      </c>
      <c r="F151" t="s">
        <v>1285</v>
      </c>
      <c r="G151" t="s">
        <v>1286</v>
      </c>
      <c r="H151" t="s">
        <v>757</v>
      </c>
      <c r="I151" t="s">
        <v>560</v>
      </c>
      <c r="J151" t="s">
        <v>1287</v>
      </c>
      <c r="K151" t="s">
        <v>55</v>
      </c>
      <c r="L151" t="s">
        <v>55</v>
      </c>
      <c r="M151" t="s">
        <v>884</v>
      </c>
    </row>
    <row r="152" spans="1:13" ht="15" customHeight="1" x14ac:dyDescent="0.25">
      <c r="A152" t="s">
        <v>739</v>
      </c>
      <c r="B152" t="s">
        <v>199</v>
      </c>
      <c r="C152">
        <v>542210</v>
      </c>
      <c r="D152" t="s">
        <v>1288</v>
      </c>
      <c r="E152" t="s">
        <v>1289</v>
      </c>
      <c r="F152" t="s">
        <v>1290</v>
      </c>
      <c r="G152" t="s">
        <v>1291</v>
      </c>
      <c r="H152" t="s">
        <v>803</v>
      </c>
      <c r="I152" t="s">
        <v>560</v>
      </c>
      <c r="J152" t="s">
        <v>927</v>
      </c>
      <c r="K152" t="s">
        <v>55</v>
      </c>
      <c r="L152" t="s">
        <v>55</v>
      </c>
      <c r="M152" t="s">
        <v>912</v>
      </c>
    </row>
    <row r="153" spans="1:13" ht="15" customHeight="1" x14ac:dyDescent="0.25">
      <c r="A153" t="s">
        <v>739</v>
      </c>
      <c r="B153" t="s">
        <v>199</v>
      </c>
      <c r="C153">
        <v>542324</v>
      </c>
      <c r="D153" t="s">
        <v>1292</v>
      </c>
      <c r="E153" t="s">
        <v>1293</v>
      </c>
      <c r="F153" t="s">
        <v>1294</v>
      </c>
      <c r="G153" t="s">
        <v>1295</v>
      </c>
      <c r="H153" t="s">
        <v>567</v>
      </c>
      <c r="I153" t="s">
        <v>560</v>
      </c>
      <c r="J153" t="s">
        <v>850</v>
      </c>
      <c r="K153" t="s">
        <v>55</v>
      </c>
      <c r="L153" t="s">
        <v>55</v>
      </c>
      <c r="M153" t="s">
        <v>804</v>
      </c>
    </row>
    <row r="154" spans="1:13" ht="15" customHeight="1" x14ac:dyDescent="0.25">
      <c r="A154" t="s">
        <v>739</v>
      </c>
      <c r="B154" t="s">
        <v>199</v>
      </c>
      <c r="C154">
        <v>542355</v>
      </c>
      <c r="D154" t="s">
        <v>1296</v>
      </c>
      <c r="E154" t="s">
        <v>1297</v>
      </c>
      <c r="F154" t="s">
        <v>1298</v>
      </c>
      <c r="G154" t="s">
        <v>1299</v>
      </c>
      <c r="H154" t="s">
        <v>911</v>
      </c>
      <c r="I154" t="s">
        <v>560</v>
      </c>
      <c r="J154" t="s">
        <v>609</v>
      </c>
      <c r="K154" t="s">
        <v>55</v>
      </c>
      <c r="L154" t="s">
        <v>55</v>
      </c>
      <c r="M154" t="s">
        <v>1300</v>
      </c>
    </row>
    <row r="155" spans="1:13" ht="15" customHeight="1" x14ac:dyDescent="0.25">
      <c r="A155" t="s">
        <v>739</v>
      </c>
      <c r="B155" t="s">
        <v>199</v>
      </c>
      <c r="C155">
        <v>542243</v>
      </c>
      <c r="D155" t="s">
        <v>1301</v>
      </c>
      <c r="E155" t="s">
        <v>1302</v>
      </c>
      <c r="F155" t="s">
        <v>1303</v>
      </c>
      <c r="G155" t="s">
        <v>1304</v>
      </c>
      <c r="H155" t="s">
        <v>558</v>
      </c>
      <c r="I155" t="s">
        <v>560</v>
      </c>
      <c r="J155" t="s">
        <v>1305</v>
      </c>
      <c r="K155" t="s">
        <v>55</v>
      </c>
      <c r="L155" t="s">
        <v>55</v>
      </c>
      <c r="M155" t="s">
        <v>964</v>
      </c>
    </row>
    <row r="156" spans="1:13" ht="15" customHeight="1" x14ac:dyDescent="0.25">
      <c r="A156" t="s">
        <v>1306</v>
      </c>
      <c r="B156" t="s">
        <v>199</v>
      </c>
      <c r="C156">
        <v>542382</v>
      </c>
      <c r="D156" t="s">
        <v>740</v>
      </c>
      <c r="E156" t="s">
        <v>741</v>
      </c>
      <c r="F156" t="s">
        <v>742</v>
      </c>
      <c r="G156" t="s">
        <v>743</v>
      </c>
      <c r="H156" t="s">
        <v>744</v>
      </c>
      <c r="I156" t="s">
        <v>560</v>
      </c>
      <c r="J156" t="s">
        <v>660</v>
      </c>
      <c r="K156" t="s">
        <v>55</v>
      </c>
      <c r="L156" t="s">
        <v>55</v>
      </c>
      <c r="M156" t="s">
        <v>745</v>
      </c>
    </row>
    <row r="157" spans="1:13" ht="15" customHeight="1" x14ac:dyDescent="0.25">
      <c r="A157" t="s">
        <v>1306</v>
      </c>
      <c r="B157" t="s">
        <v>199</v>
      </c>
      <c r="C157">
        <v>543650</v>
      </c>
      <c r="D157" t="s">
        <v>746</v>
      </c>
      <c r="E157" t="s">
        <v>747</v>
      </c>
      <c r="F157" t="s">
        <v>748</v>
      </c>
      <c r="G157" t="s">
        <v>749</v>
      </c>
      <c r="H157" t="s">
        <v>750</v>
      </c>
      <c r="I157" t="s">
        <v>560</v>
      </c>
      <c r="J157" t="s">
        <v>751</v>
      </c>
      <c r="K157" t="s">
        <v>55</v>
      </c>
      <c r="L157" t="s">
        <v>55</v>
      </c>
      <c r="M157" t="s">
        <v>752</v>
      </c>
    </row>
    <row r="158" spans="1:13" ht="15" customHeight="1" x14ac:dyDescent="0.25">
      <c r="A158" t="s">
        <v>1306</v>
      </c>
      <c r="B158" t="s">
        <v>199</v>
      </c>
      <c r="C158">
        <v>542246</v>
      </c>
      <c r="D158" t="s">
        <v>753</v>
      </c>
      <c r="E158" t="s">
        <v>754</v>
      </c>
      <c r="F158" t="s">
        <v>755</v>
      </c>
      <c r="G158" t="s">
        <v>756</v>
      </c>
      <c r="H158" t="s">
        <v>757</v>
      </c>
      <c r="I158" t="s">
        <v>560</v>
      </c>
      <c r="J158" t="s">
        <v>626</v>
      </c>
      <c r="K158" t="s">
        <v>55</v>
      </c>
      <c r="L158" t="s">
        <v>55</v>
      </c>
      <c r="M158" t="s">
        <v>758</v>
      </c>
    </row>
    <row r="159" spans="1:13" ht="15" customHeight="1" x14ac:dyDescent="0.25">
      <c r="A159" t="s">
        <v>1306</v>
      </c>
      <c r="B159" t="s">
        <v>199</v>
      </c>
      <c r="C159">
        <v>542365</v>
      </c>
      <c r="D159" t="s">
        <v>759</v>
      </c>
      <c r="E159" t="s">
        <v>760</v>
      </c>
      <c r="F159" t="s">
        <v>761</v>
      </c>
      <c r="G159" t="s">
        <v>762</v>
      </c>
      <c r="H159" t="s">
        <v>763</v>
      </c>
      <c r="I159" t="s">
        <v>560</v>
      </c>
      <c r="J159" t="s">
        <v>764</v>
      </c>
      <c r="K159" t="s">
        <v>55</v>
      </c>
      <c r="L159" t="s">
        <v>55</v>
      </c>
      <c r="M159" t="s">
        <v>765</v>
      </c>
    </row>
    <row r="160" spans="1:13" ht="15" customHeight="1" x14ac:dyDescent="0.25">
      <c r="A160" t="s">
        <v>1306</v>
      </c>
      <c r="B160" t="s">
        <v>199</v>
      </c>
      <c r="C160">
        <v>542235</v>
      </c>
      <c r="D160" t="s">
        <v>766</v>
      </c>
      <c r="E160" t="s">
        <v>767</v>
      </c>
      <c r="F160" t="s">
        <v>768</v>
      </c>
      <c r="G160" t="s">
        <v>769</v>
      </c>
      <c r="H160" t="s">
        <v>558</v>
      </c>
      <c r="I160" t="s">
        <v>560</v>
      </c>
      <c r="J160" t="s">
        <v>770</v>
      </c>
      <c r="K160" t="s">
        <v>55</v>
      </c>
      <c r="L160" t="s">
        <v>55</v>
      </c>
      <c r="M160" t="s">
        <v>771</v>
      </c>
    </row>
    <row r="161" spans="1:13" ht="15" customHeight="1" x14ac:dyDescent="0.25">
      <c r="A161" t="s">
        <v>1306</v>
      </c>
      <c r="B161" t="s">
        <v>199</v>
      </c>
      <c r="C161">
        <v>542300</v>
      </c>
      <c r="D161" t="s">
        <v>772</v>
      </c>
      <c r="E161" t="s">
        <v>773</v>
      </c>
      <c r="F161" t="s">
        <v>774</v>
      </c>
      <c r="G161" t="s">
        <v>775</v>
      </c>
      <c r="H161" t="s">
        <v>776</v>
      </c>
      <c r="I161" t="s">
        <v>560</v>
      </c>
      <c r="J161" t="s">
        <v>777</v>
      </c>
      <c r="K161" t="s">
        <v>55</v>
      </c>
      <c r="L161" t="s">
        <v>55</v>
      </c>
      <c r="M161" t="s">
        <v>778</v>
      </c>
    </row>
    <row r="162" spans="1:13" ht="15" customHeight="1" x14ac:dyDescent="0.25">
      <c r="A162" t="s">
        <v>1306</v>
      </c>
      <c r="B162" t="s">
        <v>199</v>
      </c>
      <c r="C162">
        <v>542316</v>
      </c>
      <c r="D162" t="s">
        <v>779</v>
      </c>
      <c r="E162" t="s">
        <v>780</v>
      </c>
      <c r="F162" t="s">
        <v>781</v>
      </c>
      <c r="G162" t="s">
        <v>782</v>
      </c>
      <c r="H162" t="s">
        <v>576</v>
      </c>
      <c r="I162" t="s">
        <v>560</v>
      </c>
      <c r="J162" t="s">
        <v>615</v>
      </c>
      <c r="K162" t="s">
        <v>55</v>
      </c>
      <c r="L162" t="s">
        <v>55</v>
      </c>
      <c r="M162" t="s">
        <v>778</v>
      </c>
    </row>
    <row r="163" spans="1:13" ht="15" customHeight="1" x14ac:dyDescent="0.25">
      <c r="A163" t="s">
        <v>1306</v>
      </c>
      <c r="B163" t="s">
        <v>199</v>
      </c>
      <c r="C163">
        <v>542396</v>
      </c>
      <c r="D163" t="s">
        <v>783</v>
      </c>
      <c r="E163" t="s">
        <v>784</v>
      </c>
      <c r="F163" t="s">
        <v>785</v>
      </c>
      <c r="G163" t="s">
        <v>786</v>
      </c>
      <c r="H163" t="s">
        <v>757</v>
      </c>
      <c r="I163" t="s">
        <v>560</v>
      </c>
      <c r="J163" t="s">
        <v>615</v>
      </c>
      <c r="K163" t="s">
        <v>55</v>
      </c>
      <c r="L163" t="s">
        <v>55</v>
      </c>
      <c r="M163" t="s">
        <v>787</v>
      </c>
    </row>
    <row r="164" spans="1:13" ht="15" customHeight="1" x14ac:dyDescent="0.25">
      <c r="A164" t="s">
        <v>1306</v>
      </c>
      <c r="B164" t="s">
        <v>199</v>
      </c>
      <c r="C164">
        <v>542374</v>
      </c>
      <c r="D164" t="s">
        <v>788</v>
      </c>
      <c r="E164" t="s">
        <v>789</v>
      </c>
      <c r="F164" t="s">
        <v>790</v>
      </c>
      <c r="G164" t="s">
        <v>791</v>
      </c>
      <c r="H164" t="s">
        <v>792</v>
      </c>
      <c r="I164" t="s">
        <v>560</v>
      </c>
      <c r="J164" t="s">
        <v>689</v>
      </c>
      <c r="K164" t="s">
        <v>55</v>
      </c>
      <c r="L164" t="s">
        <v>55</v>
      </c>
      <c r="M164" t="s">
        <v>765</v>
      </c>
    </row>
    <row r="165" spans="1:13" ht="15" customHeight="1" x14ac:dyDescent="0.25">
      <c r="A165" t="s">
        <v>1306</v>
      </c>
      <c r="B165" t="s">
        <v>199</v>
      </c>
      <c r="C165">
        <v>543049</v>
      </c>
      <c r="D165" t="s">
        <v>793</v>
      </c>
      <c r="E165" t="s">
        <v>794</v>
      </c>
      <c r="F165" t="s">
        <v>795</v>
      </c>
      <c r="G165" t="s">
        <v>796</v>
      </c>
      <c r="H165" t="s">
        <v>757</v>
      </c>
      <c r="I165" t="s">
        <v>560</v>
      </c>
      <c r="J165" t="s">
        <v>797</v>
      </c>
      <c r="K165" t="s">
        <v>55</v>
      </c>
      <c r="L165" t="s">
        <v>55</v>
      </c>
      <c r="M165" t="s">
        <v>798</v>
      </c>
    </row>
    <row r="166" spans="1:13" ht="15" customHeight="1" x14ac:dyDescent="0.25">
      <c r="A166" t="s">
        <v>1306</v>
      </c>
      <c r="B166" t="s">
        <v>199</v>
      </c>
      <c r="C166">
        <v>542312</v>
      </c>
      <c r="D166" t="s">
        <v>799</v>
      </c>
      <c r="E166" t="s">
        <v>800</v>
      </c>
      <c r="F166" t="s">
        <v>801</v>
      </c>
      <c r="G166" t="s">
        <v>802</v>
      </c>
      <c r="H166" t="s">
        <v>803</v>
      </c>
      <c r="I166" t="s">
        <v>560</v>
      </c>
      <c r="J166" t="s">
        <v>596</v>
      </c>
      <c r="K166" t="s">
        <v>55</v>
      </c>
      <c r="L166" t="s">
        <v>55</v>
      </c>
      <c r="M166" t="s">
        <v>804</v>
      </c>
    </row>
    <row r="167" spans="1:13" ht="15" customHeight="1" x14ac:dyDescent="0.25">
      <c r="A167" t="s">
        <v>1306</v>
      </c>
      <c r="B167" t="s">
        <v>199</v>
      </c>
      <c r="C167">
        <v>542392</v>
      </c>
      <c r="D167" t="s">
        <v>805</v>
      </c>
      <c r="E167" t="s">
        <v>806</v>
      </c>
      <c r="F167" t="s">
        <v>807</v>
      </c>
      <c r="G167" t="s">
        <v>808</v>
      </c>
      <c r="H167" t="s">
        <v>757</v>
      </c>
      <c r="I167" t="s">
        <v>560</v>
      </c>
      <c r="J167" t="s">
        <v>809</v>
      </c>
      <c r="K167" t="s">
        <v>55</v>
      </c>
      <c r="L167" t="s">
        <v>55</v>
      </c>
      <c r="M167" t="s">
        <v>810</v>
      </c>
    </row>
    <row r="168" spans="1:13" ht="15" customHeight="1" x14ac:dyDescent="0.25">
      <c r="A168" t="s">
        <v>1306</v>
      </c>
      <c r="B168" t="s">
        <v>199</v>
      </c>
      <c r="C168">
        <v>542322</v>
      </c>
      <c r="D168" t="s">
        <v>811</v>
      </c>
      <c r="E168" t="s">
        <v>812</v>
      </c>
      <c r="F168" t="s">
        <v>813</v>
      </c>
      <c r="G168" t="s">
        <v>814</v>
      </c>
      <c r="H168" t="s">
        <v>558</v>
      </c>
      <c r="I168" t="s">
        <v>560</v>
      </c>
      <c r="J168" t="s">
        <v>615</v>
      </c>
      <c r="K168" t="s">
        <v>55</v>
      </c>
      <c r="L168" t="s">
        <v>55</v>
      </c>
      <c r="M168" t="s">
        <v>815</v>
      </c>
    </row>
    <row r="169" spans="1:13" ht="15" customHeight="1" x14ac:dyDescent="0.25">
      <c r="A169" t="s">
        <v>1306</v>
      </c>
      <c r="B169" t="s">
        <v>199</v>
      </c>
      <c r="C169">
        <v>542326</v>
      </c>
      <c r="D169" t="s">
        <v>575</v>
      </c>
      <c r="E169" t="s">
        <v>816</v>
      </c>
      <c r="F169" t="s">
        <v>577</v>
      </c>
      <c r="G169" t="s">
        <v>817</v>
      </c>
      <c r="H169" t="s">
        <v>576</v>
      </c>
      <c r="I169" t="s">
        <v>560</v>
      </c>
      <c r="J169" t="s">
        <v>777</v>
      </c>
      <c r="K169" t="s">
        <v>55</v>
      </c>
      <c r="L169" t="s">
        <v>55</v>
      </c>
      <c r="M169" t="s">
        <v>854</v>
      </c>
    </row>
    <row r="170" spans="1:13" ht="15" customHeight="1" x14ac:dyDescent="0.25">
      <c r="A170" t="s">
        <v>1306</v>
      </c>
      <c r="B170" t="s">
        <v>199</v>
      </c>
      <c r="C170">
        <v>542348</v>
      </c>
      <c r="D170" t="s">
        <v>819</v>
      </c>
      <c r="E170" t="s">
        <v>820</v>
      </c>
      <c r="F170" t="s">
        <v>821</v>
      </c>
      <c r="G170" t="s">
        <v>822</v>
      </c>
      <c r="H170" t="s">
        <v>576</v>
      </c>
      <c r="I170" t="s">
        <v>560</v>
      </c>
      <c r="J170" t="s">
        <v>823</v>
      </c>
      <c r="K170" t="s">
        <v>55</v>
      </c>
      <c r="L170" t="s">
        <v>55</v>
      </c>
      <c r="M170" t="s">
        <v>752</v>
      </c>
    </row>
    <row r="171" spans="1:13" ht="15" customHeight="1" x14ac:dyDescent="0.25">
      <c r="A171" t="s">
        <v>1306</v>
      </c>
      <c r="B171" t="s">
        <v>199</v>
      </c>
      <c r="C171">
        <v>542288</v>
      </c>
      <c r="D171" t="s">
        <v>819</v>
      </c>
      <c r="E171" t="s">
        <v>824</v>
      </c>
      <c r="F171" t="s">
        <v>825</v>
      </c>
      <c r="G171" t="s">
        <v>826</v>
      </c>
      <c r="H171" t="s">
        <v>576</v>
      </c>
      <c r="I171" t="s">
        <v>560</v>
      </c>
      <c r="J171" t="s">
        <v>770</v>
      </c>
      <c r="K171" t="s">
        <v>55</v>
      </c>
      <c r="L171" t="s">
        <v>55</v>
      </c>
      <c r="M171" t="s">
        <v>827</v>
      </c>
    </row>
    <row r="172" spans="1:13" ht="15" customHeight="1" x14ac:dyDescent="0.25">
      <c r="A172" t="s">
        <v>1306</v>
      </c>
      <c r="B172" t="s">
        <v>199</v>
      </c>
      <c r="C172">
        <v>542323</v>
      </c>
      <c r="D172" t="s">
        <v>828</v>
      </c>
      <c r="E172" t="s">
        <v>829</v>
      </c>
      <c r="F172" t="s">
        <v>830</v>
      </c>
      <c r="G172" t="s">
        <v>831</v>
      </c>
      <c r="H172" t="s">
        <v>567</v>
      </c>
      <c r="I172" t="s">
        <v>560</v>
      </c>
      <c r="J172" t="s">
        <v>603</v>
      </c>
      <c r="K172" t="s">
        <v>55</v>
      </c>
      <c r="L172" t="s">
        <v>55</v>
      </c>
      <c r="M172" t="s">
        <v>810</v>
      </c>
    </row>
    <row r="173" spans="1:13" ht="15" customHeight="1" x14ac:dyDescent="0.25">
      <c r="A173" t="s">
        <v>1306</v>
      </c>
      <c r="B173" t="s">
        <v>199</v>
      </c>
      <c r="C173">
        <v>542393</v>
      </c>
      <c r="D173" t="s">
        <v>557</v>
      </c>
      <c r="E173" t="s">
        <v>832</v>
      </c>
      <c r="F173" t="s">
        <v>559</v>
      </c>
      <c r="G173" t="s">
        <v>833</v>
      </c>
      <c r="H173" t="s">
        <v>558</v>
      </c>
      <c r="I173" t="s">
        <v>560</v>
      </c>
      <c r="J173" t="s">
        <v>615</v>
      </c>
      <c r="K173" t="s">
        <v>55</v>
      </c>
      <c r="L173" t="s">
        <v>55</v>
      </c>
      <c r="M173" t="s">
        <v>1307</v>
      </c>
    </row>
    <row r="174" spans="1:13" ht="15" customHeight="1" x14ac:dyDescent="0.25">
      <c r="A174" t="s">
        <v>1306</v>
      </c>
      <c r="B174" t="s">
        <v>199</v>
      </c>
      <c r="C174">
        <v>542319</v>
      </c>
      <c r="D174" t="s">
        <v>835</v>
      </c>
      <c r="E174" t="s">
        <v>836</v>
      </c>
      <c r="F174" t="s">
        <v>837</v>
      </c>
      <c r="G174" t="s">
        <v>838</v>
      </c>
      <c r="H174" t="s">
        <v>792</v>
      </c>
      <c r="I174" t="s">
        <v>560</v>
      </c>
      <c r="J174" t="s">
        <v>603</v>
      </c>
      <c r="K174" t="s">
        <v>55</v>
      </c>
      <c r="L174" t="s">
        <v>55</v>
      </c>
      <c r="M174" t="s">
        <v>752</v>
      </c>
    </row>
    <row r="175" spans="1:13" ht="15" customHeight="1" x14ac:dyDescent="0.25">
      <c r="A175" t="s">
        <v>1306</v>
      </c>
      <c r="B175" t="s">
        <v>199</v>
      </c>
      <c r="C175">
        <v>542314</v>
      </c>
      <c r="D175" t="s">
        <v>839</v>
      </c>
      <c r="E175" t="s">
        <v>840</v>
      </c>
      <c r="F175" t="s">
        <v>841</v>
      </c>
      <c r="G175" t="s">
        <v>842</v>
      </c>
      <c r="H175" t="s">
        <v>757</v>
      </c>
      <c r="I175" t="s">
        <v>560</v>
      </c>
      <c r="J175" t="s">
        <v>843</v>
      </c>
      <c r="K175" t="s">
        <v>55</v>
      </c>
      <c r="L175" t="s">
        <v>55</v>
      </c>
      <c r="M175" t="s">
        <v>844</v>
      </c>
    </row>
    <row r="176" spans="1:13" ht="15" customHeight="1" x14ac:dyDescent="0.25">
      <c r="A176" t="s">
        <v>1306</v>
      </c>
      <c r="B176" t="s">
        <v>199</v>
      </c>
      <c r="C176">
        <v>542412</v>
      </c>
      <c r="D176" t="s">
        <v>845</v>
      </c>
      <c r="E176" t="s">
        <v>846</v>
      </c>
      <c r="F176" t="s">
        <v>847</v>
      </c>
      <c r="G176" t="s">
        <v>848</v>
      </c>
      <c r="H176" t="s">
        <v>849</v>
      </c>
      <c r="I176" t="s">
        <v>560</v>
      </c>
      <c r="J176" t="s">
        <v>850</v>
      </c>
      <c r="K176" t="s">
        <v>55</v>
      </c>
      <c r="L176" t="s">
        <v>55</v>
      </c>
      <c r="M176" t="s">
        <v>765</v>
      </c>
    </row>
    <row r="177" spans="1:13" ht="15" customHeight="1" x14ac:dyDescent="0.25">
      <c r="A177" t="s">
        <v>1306</v>
      </c>
      <c r="B177" t="s">
        <v>199</v>
      </c>
      <c r="C177">
        <v>542354</v>
      </c>
      <c r="D177" t="s">
        <v>570</v>
      </c>
      <c r="E177" t="s">
        <v>851</v>
      </c>
      <c r="F177" t="s">
        <v>572</v>
      </c>
      <c r="G177" t="s">
        <v>852</v>
      </c>
      <c r="H177" t="s">
        <v>571</v>
      </c>
      <c r="I177" t="s">
        <v>560</v>
      </c>
      <c r="J177" t="s">
        <v>853</v>
      </c>
      <c r="K177" t="s">
        <v>55</v>
      </c>
      <c r="L177" t="s">
        <v>55</v>
      </c>
      <c r="M177" t="s">
        <v>854</v>
      </c>
    </row>
    <row r="178" spans="1:13" ht="15" customHeight="1" x14ac:dyDescent="0.25">
      <c r="A178" t="s">
        <v>1306</v>
      </c>
      <c r="B178" t="s">
        <v>199</v>
      </c>
      <c r="C178">
        <v>542306</v>
      </c>
      <c r="D178" t="s">
        <v>855</v>
      </c>
      <c r="E178" t="s">
        <v>856</v>
      </c>
      <c r="F178" t="s">
        <v>857</v>
      </c>
      <c r="G178" t="s">
        <v>858</v>
      </c>
      <c r="H178" t="s">
        <v>744</v>
      </c>
      <c r="I178" t="s">
        <v>560</v>
      </c>
      <c r="J178" t="s">
        <v>859</v>
      </c>
      <c r="K178" t="s">
        <v>55</v>
      </c>
      <c r="L178" t="s">
        <v>55</v>
      </c>
      <c r="M178" t="s">
        <v>778</v>
      </c>
    </row>
    <row r="179" spans="1:13" ht="15" customHeight="1" x14ac:dyDescent="0.25">
      <c r="A179" t="s">
        <v>1306</v>
      </c>
      <c r="B179" t="s">
        <v>199</v>
      </c>
      <c r="C179">
        <v>542298</v>
      </c>
      <c r="D179" t="s">
        <v>860</v>
      </c>
      <c r="E179" t="s">
        <v>861</v>
      </c>
      <c r="F179" t="s">
        <v>862</v>
      </c>
      <c r="G179" t="s">
        <v>863</v>
      </c>
      <c r="H179" t="s">
        <v>576</v>
      </c>
      <c r="I179" t="s">
        <v>560</v>
      </c>
      <c r="J179" t="s">
        <v>603</v>
      </c>
      <c r="K179" t="s">
        <v>55</v>
      </c>
      <c r="L179" t="s">
        <v>55</v>
      </c>
      <c r="M179" t="s">
        <v>864</v>
      </c>
    </row>
    <row r="180" spans="1:13" ht="15" customHeight="1" x14ac:dyDescent="0.25">
      <c r="A180" t="s">
        <v>1306</v>
      </c>
      <c r="B180" t="s">
        <v>199</v>
      </c>
      <c r="C180">
        <v>542376</v>
      </c>
      <c r="D180" t="s">
        <v>865</v>
      </c>
      <c r="E180" t="s">
        <v>832</v>
      </c>
      <c r="F180" t="s">
        <v>866</v>
      </c>
      <c r="G180" t="s">
        <v>867</v>
      </c>
      <c r="H180" t="s">
        <v>792</v>
      </c>
      <c r="I180" t="s">
        <v>560</v>
      </c>
      <c r="J180" t="s">
        <v>615</v>
      </c>
      <c r="K180" t="s">
        <v>55</v>
      </c>
      <c r="L180" t="s">
        <v>55</v>
      </c>
      <c r="M180" t="s">
        <v>765</v>
      </c>
    </row>
    <row r="181" spans="1:13" ht="15" customHeight="1" x14ac:dyDescent="0.25">
      <c r="A181" t="s">
        <v>1306</v>
      </c>
      <c r="B181" t="s">
        <v>199</v>
      </c>
      <c r="C181">
        <v>542490</v>
      </c>
      <c r="D181" t="s">
        <v>868</v>
      </c>
      <c r="E181" t="s">
        <v>869</v>
      </c>
      <c r="F181" t="s">
        <v>870</v>
      </c>
      <c r="G181" t="s">
        <v>871</v>
      </c>
      <c r="H181" t="s">
        <v>571</v>
      </c>
      <c r="I181" t="s">
        <v>560</v>
      </c>
      <c r="J181" t="s">
        <v>603</v>
      </c>
      <c r="K181" t="s">
        <v>55</v>
      </c>
      <c r="L181" t="s">
        <v>55</v>
      </c>
      <c r="M181" t="s">
        <v>765</v>
      </c>
    </row>
    <row r="182" spans="1:13" ht="15" customHeight="1" x14ac:dyDescent="0.25">
      <c r="A182" t="s">
        <v>1306</v>
      </c>
      <c r="B182" t="s">
        <v>199</v>
      </c>
      <c r="C182">
        <v>542409</v>
      </c>
      <c r="D182" t="s">
        <v>872</v>
      </c>
      <c r="E182" t="s">
        <v>873</v>
      </c>
      <c r="F182" t="s">
        <v>874</v>
      </c>
      <c r="G182" t="s">
        <v>875</v>
      </c>
      <c r="H182" t="s">
        <v>576</v>
      </c>
      <c r="I182" t="s">
        <v>560</v>
      </c>
      <c r="J182" t="s">
        <v>615</v>
      </c>
      <c r="K182" t="s">
        <v>55</v>
      </c>
      <c r="L182" t="s">
        <v>55</v>
      </c>
      <c r="M182" t="s">
        <v>815</v>
      </c>
    </row>
    <row r="183" spans="1:13" ht="15" customHeight="1" x14ac:dyDescent="0.25">
      <c r="A183" t="s">
        <v>1306</v>
      </c>
      <c r="B183" t="s">
        <v>199</v>
      </c>
      <c r="C183">
        <v>542411</v>
      </c>
      <c r="D183" t="s">
        <v>876</v>
      </c>
      <c r="E183" t="s">
        <v>877</v>
      </c>
      <c r="F183" t="s">
        <v>878</v>
      </c>
      <c r="G183" t="s">
        <v>879</v>
      </c>
      <c r="H183" t="s">
        <v>849</v>
      </c>
      <c r="I183" t="s">
        <v>560</v>
      </c>
      <c r="J183" t="s">
        <v>626</v>
      </c>
      <c r="K183" t="s">
        <v>55</v>
      </c>
      <c r="L183" t="s">
        <v>55</v>
      </c>
      <c r="M183" t="s">
        <v>745</v>
      </c>
    </row>
    <row r="184" spans="1:13" ht="15" customHeight="1" x14ac:dyDescent="0.25">
      <c r="A184" t="s">
        <v>1306</v>
      </c>
      <c r="B184" t="s">
        <v>199</v>
      </c>
      <c r="C184">
        <v>542395</v>
      </c>
      <c r="D184" t="s">
        <v>880</v>
      </c>
      <c r="E184" t="s">
        <v>881</v>
      </c>
      <c r="F184" t="s">
        <v>882</v>
      </c>
      <c r="G184" t="s">
        <v>883</v>
      </c>
      <c r="H184" t="s">
        <v>558</v>
      </c>
      <c r="I184" t="s">
        <v>560</v>
      </c>
      <c r="J184" t="s">
        <v>823</v>
      </c>
      <c r="K184" t="s">
        <v>55</v>
      </c>
      <c r="L184" t="s">
        <v>55</v>
      </c>
      <c r="M184" t="s">
        <v>884</v>
      </c>
    </row>
    <row r="185" spans="1:13" ht="15" customHeight="1" x14ac:dyDescent="0.25">
      <c r="A185" t="s">
        <v>1306</v>
      </c>
      <c r="B185" t="s">
        <v>199</v>
      </c>
      <c r="C185">
        <v>542377</v>
      </c>
      <c r="D185" t="s">
        <v>885</v>
      </c>
      <c r="E185" t="s">
        <v>886</v>
      </c>
      <c r="F185" t="s">
        <v>887</v>
      </c>
      <c r="G185" t="s">
        <v>888</v>
      </c>
      <c r="H185" t="s">
        <v>889</v>
      </c>
      <c r="I185" t="s">
        <v>560</v>
      </c>
      <c r="J185" t="s">
        <v>603</v>
      </c>
      <c r="K185" t="s">
        <v>55</v>
      </c>
      <c r="L185" t="s">
        <v>55</v>
      </c>
      <c r="M185" t="s">
        <v>884</v>
      </c>
    </row>
    <row r="186" spans="1:13" ht="15" customHeight="1" x14ac:dyDescent="0.25">
      <c r="A186" t="s">
        <v>1306</v>
      </c>
      <c r="B186" t="s">
        <v>199</v>
      </c>
      <c r="C186">
        <v>542383</v>
      </c>
      <c r="D186" t="s">
        <v>890</v>
      </c>
      <c r="E186" t="s">
        <v>891</v>
      </c>
      <c r="F186" t="s">
        <v>892</v>
      </c>
      <c r="G186" t="s">
        <v>893</v>
      </c>
      <c r="H186" t="s">
        <v>803</v>
      </c>
      <c r="I186" t="s">
        <v>560</v>
      </c>
      <c r="J186" t="s">
        <v>660</v>
      </c>
      <c r="K186" t="s">
        <v>55</v>
      </c>
      <c r="L186" t="s">
        <v>55</v>
      </c>
      <c r="M186" t="s">
        <v>765</v>
      </c>
    </row>
    <row r="187" spans="1:13" ht="15" customHeight="1" x14ac:dyDescent="0.25">
      <c r="A187" t="s">
        <v>1306</v>
      </c>
      <c r="B187" t="s">
        <v>199</v>
      </c>
      <c r="C187">
        <v>542305</v>
      </c>
      <c r="D187" t="s">
        <v>894</v>
      </c>
      <c r="E187" t="s">
        <v>895</v>
      </c>
      <c r="F187" t="s">
        <v>896</v>
      </c>
      <c r="G187" t="s">
        <v>897</v>
      </c>
      <c r="H187" t="s">
        <v>898</v>
      </c>
      <c r="I187" t="s">
        <v>560</v>
      </c>
      <c r="J187" t="s">
        <v>615</v>
      </c>
      <c r="K187" t="s">
        <v>55</v>
      </c>
      <c r="L187" t="s">
        <v>55</v>
      </c>
      <c r="M187" t="s">
        <v>804</v>
      </c>
    </row>
    <row r="188" spans="1:13" ht="15" customHeight="1" x14ac:dyDescent="0.25">
      <c r="A188" t="s">
        <v>1306</v>
      </c>
      <c r="B188" t="s">
        <v>199</v>
      </c>
      <c r="C188">
        <v>542359</v>
      </c>
      <c r="D188" t="s">
        <v>899</v>
      </c>
      <c r="E188" t="s">
        <v>900</v>
      </c>
      <c r="F188" t="s">
        <v>901</v>
      </c>
      <c r="G188" t="s">
        <v>902</v>
      </c>
      <c r="H188" t="s">
        <v>571</v>
      </c>
      <c r="I188" t="s">
        <v>560</v>
      </c>
      <c r="J188" t="s">
        <v>615</v>
      </c>
      <c r="K188" t="s">
        <v>55</v>
      </c>
      <c r="L188" t="s">
        <v>55</v>
      </c>
      <c r="M188" t="s">
        <v>752</v>
      </c>
    </row>
    <row r="189" spans="1:13" ht="15" customHeight="1" x14ac:dyDescent="0.25">
      <c r="A189" t="s">
        <v>1306</v>
      </c>
      <c r="B189" t="s">
        <v>199</v>
      </c>
      <c r="C189">
        <v>542364</v>
      </c>
      <c r="D189" t="s">
        <v>903</v>
      </c>
      <c r="E189" t="s">
        <v>904</v>
      </c>
      <c r="F189" t="s">
        <v>905</v>
      </c>
      <c r="G189" t="s">
        <v>906</v>
      </c>
      <c r="H189" t="s">
        <v>558</v>
      </c>
      <c r="I189" t="s">
        <v>560</v>
      </c>
      <c r="J189" t="s">
        <v>751</v>
      </c>
      <c r="K189" t="s">
        <v>55</v>
      </c>
      <c r="L189" t="s">
        <v>55</v>
      </c>
      <c r="M189" t="s">
        <v>787</v>
      </c>
    </row>
    <row r="190" spans="1:13" ht="15" customHeight="1" x14ac:dyDescent="0.25">
      <c r="A190" t="s">
        <v>1306</v>
      </c>
      <c r="B190" t="s">
        <v>199</v>
      </c>
      <c r="C190">
        <v>543048</v>
      </c>
      <c r="D190" t="s">
        <v>907</v>
      </c>
      <c r="E190" t="s">
        <v>908</v>
      </c>
      <c r="F190" t="s">
        <v>909</v>
      </c>
      <c r="G190" t="s">
        <v>910</v>
      </c>
      <c r="H190" t="s">
        <v>911</v>
      </c>
      <c r="I190" t="s">
        <v>560</v>
      </c>
      <c r="J190" t="s">
        <v>689</v>
      </c>
      <c r="K190" t="s">
        <v>55</v>
      </c>
      <c r="L190" t="s">
        <v>55</v>
      </c>
      <c r="M190" t="s">
        <v>912</v>
      </c>
    </row>
    <row r="191" spans="1:13" ht="15" customHeight="1" x14ac:dyDescent="0.25">
      <c r="A191" t="s">
        <v>1306</v>
      </c>
      <c r="B191" t="s">
        <v>199</v>
      </c>
      <c r="C191">
        <v>542330</v>
      </c>
      <c r="D191" t="s">
        <v>913</v>
      </c>
      <c r="E191" t="s">
        <v>914</v>
      </c>
      <c r="F191" t="s">
        <v>915</v>
      </c>
      <c r="G191" t="s">
        <v>916</v>
      </c>
      <c r="H191" t="s">
        <v>889</v>
      </c>
      <c r="I191" t="s">
        <v>560</v>
      </c>
      <c r="J191" t="s">
        <v>917</v>
      </c>
      <c r="K191" t="s">
        <v>55</v>
      </c>
      <c r="L191" t="s">
        <v>55</v>
      </c>
      <c r="M191" t="s">
        <v>884</v>
      </c>
    </row>
    <row r="192" spans="1:13" ht="15" customHeight="1" x14ac:dyDescent="0.25">
      <c r="A192" t="s">
        <v>1306</v>
      </c>
      <c r="B192" t="s">
        <v>199</v>
      </c>
      <c r="C192">
        <v>542307</v>
      </c>
      <c r="D192" t="s">
        <v>918</v>
      </c>
      <c r="E192" t="s">
        <v>919</v>
      </c>
      <c r="F192" t="s">
        <v>920</v>
      </c>
      <c r="G192" t="s">
        <v>921</v>
      </c>
      <c r="H192" t="s">
        <v>576</v>
      </c>
      <c r="I192" t="s">
        <v>560</v>
      </c>
      <c r="J192" t="s">
        <v>922</v>
      </c>
      <c r="K192" t="s">
        <v>55</v>
      </c>
      <c r="L192" t="s">
        <v>55</v>
      </c>
      <c r="M192" t="s">
        <v>787</v>
      </c>
    </row>
    <row r="193" spans="1:13" ht="15" customHeight="1" x14ac:dyDescent="0.25">
      <c r="A193" t="s">
        <v>1306</v>
      </c>
      <c r="B193" t="s">
        <v>199</v>
      </c>
      <c r="C193">
        <v>542230</v>
      </c>
      <c r="D193" t="s">
        <v>923</v>
      </c>
      <c r="E193" t="s">
        <v>924</v>
      </c>
      <c r="F193" t="s">
        <v>925</v>
      </c>
      <c r="G193" t="s">
        <v>926</v>
      </c>
      <c r="H193" t="s">
        <v>571</v>
      </c>
      <c r="I193" t="s">
        <v>560</v>
      </c>
      <c r="J193" t="s">
        <v>927</v>
      </c>
      <c r="K193" t="s">
        <v>55</v>
      </c>
      <c r="L193" t="s">
        <v>55</v>
      </c>
      <c r="M193" t="s">
        <v>827</v>
      </c>
    </row>
    <row r="194" spans="1:13" ht="15" customHeight="1" x14ac:dyDescent="0.25">
      <c r="A194" t="s">
        <v>1306</v>
      </c>
      <c r="B194" t="s">
        <v>199</v>
      </c>
      <c r="C194">
        <v>542366</v>
      </c>
      <c r="D194" t="s">
        <v>928</v>
      </c>
      <c r="E194" t="s">
        <v>760</v>
      </c>
      <c r="F194" t="s">
        <v>761</v>
      </c>
      <c r="G194" t="s">
        <v>762</v>
      </c>
      <c r="H194" t="s">
        <v>763</v>
      </c>
      <c r="I194" t="s">
        <v>560</v>
      </c>
      <c r="J194" t="s">
        <v>764</v>
      </c>
      <c r="K194" t="s">
        <v>55</v>
      </c>
      <c r="L194" t="s">
        <v>55</v>
      </c>
      <c r="M194" t="s">
        <v>752</v>
      </c>
    </row>
    <row r="195" spans="1:13" ht="15" customHeight="1" x14ac:dyDescent="0.25">
      <c r="A195" t="s">
        <v>1306</v>
      </c>
      <c r="B195" t="s">
        <v>199</v>
      </c>
      <c r="C195">
        <v>542296</v>
      </c>
      <c r="D195" t="s">
        <v>929</v>
      </c>
      <c r="E195" t="s">
        <v>930</v>
      </c>
      <c r="F195" t="s">
        <v>931</v>
      </c>
      <c r="G195" t="s">
        <v>932</v>
      </c>
      <c r="H195" t="s">
        <v>757</v>
      </c>
      <c r="I195" t="s">
        <v>560</v>
      </c>
      <c r="J195" t="s">
        <v>615</v>
      </c>
      <c r="K195" t="s">
        <v>55</v>
      </c>
      <c r="L195" t="s">
        <v>55</v>
      </c>
      <c r="M195" t="s">
        <v>933</v>
      </c>
    </row>
    <row r="196" spans="1:13" ht="15" customHeight="1" x14ac:dyDescent="0.25">
      <c r="A196" t="s">
        <v>1306</v>
      </c>
      <c r="B196" t="s">
        <v>199</v>
      </c>
      <c r="C196">
        <v>542388</v>
      </c>
      <c r="D196" t="s">
        <v>929</v>
      </c>
      <c r="E196" t="s">
        <v>934</v>
      </c>
      <c r="F196" t="s">
        <v>935</v>
      </c>
      <c r="G196" t="s">
        <v>936</v>
      </c>
      <c r="H196" t="s">
        <v>757</v>
      </c>
      <c r="I196" t="s">
        <v>560</v>
      </c>
      <c r="J196" t="s">
        <v>660</v>
      </c>
      <c r="K196" t="s">
        <v>55</v>
      </c>
      <c r="L196" t="s">
        <v>55</v>
      </c>
      <c r="M196" t="s">
        <v>884</v>
      </c>
    </row>
    <row r="197" spans="1:13" ht="15" customHeight="1" x14ac:dyDescent="0.25">
      <c r="A197" t="s">
        <v>1306</v>
      </c>
      <c r="B197" t="s">
        <v>199</v>
      </c>
      <c r="C197">
        <v>542712</v>
      </c>
      <c r="D197" t="s">
        <v>937</v>
      </c>
      <c r="E197" t="s">
        <v>938</v>
      </c>
      <c r="F197" t="s">
        <v>939</v>
      </c>
      <c r="G197" t="s">
        <v>940</v>
      </c>
      <c r="H197" t="s">
        <v>792</v>
      </c>
      <c r="I197" t="s">
        <v>560</v>
      </c>
      <c r="J197" t="s">
        <v>941</v>
      </c>
      <c r="K197" t="s">
        <v>55</v>
      </c>
      <c r="L197" t="s">
        <v>55</v>
      </c>
      <c r="M197" t="s">
        <v>810</v>
      </c>
    </row>
    <row r="198" spans="1:13" ht="15" customHeight="1" x14ac:dyDescent="0.25">
      <c r="A198" t="s">
        <v>1306</v>
      </c>
      <c r="B198" t="s">
        <v>199</v>
      </c>
      <c r="C198">
        <v>543026</v>
      </c>
      <c r="D198" t="s">
        <v>942</v>
      </c>
      <c r="E198" t="s">
        <v>943</v>
      </c>
      <c r="F198" t="s">
        <v>944</v>
      </c>
      <c r="G198" t="s">
        <v>945</v>
      </c>
      <c r="H198" t="s">
        <v>757</v>
      </c>
      <c r="I198" t="s">
        <v>560</v>
      </c>
      <c r="J198" t="s">
        <v>620</v>
      </c>
      <c r="K198" t="s">
        <v>55</v>
      </c>
      <c r="L198" t="s">
        <v>55</v>
      </c>
      <c r="M198" t="s">
        <v>912</v>
      </c>
    </row>
    <row r="199" spans="1:13" ht="15" customHeight="1" x14ac:dyDescent="0.25">
      <c r="A199" t="s">
        <v>1306</v>
      </c>
      <c r="B199" t="s">
        <v>199</v>
      </c>
      <c r="C199">
        <v>542356</v>
      </c>
      <c r="D199" t="s">
        <v>946</v>
      </c>
      <c r="E199" t="s">
        <v>947</v>
      </c>
      <c r="F199" t="s">
        <v>948</v>
      </c>
      <c r="G199" t="s">
        <v>949</v>
      </c>
      <c r="H199" t="s">
        <v>744</v>
      </c>
      <c r="I199" t="s">
        <v>560</v>
      </c>
      <c r="J199" t="s">
        <v>950</v>
      </c>
      <c r="K199" t="s">
        <v>55</v>
      </c>
      <c r="L199" t="s">
        <v>55</v>
      </c>
      <c r="M199" t="s">
        <v>765</v>
      </c>
    </row>
    <row r="200" spans="1:13" ht="15" customHeight="1" x14ac:dyDescent="0.25">
      <c r="A200" t="s">
        <v>1306</v>
      </c>
      <c r="B200" t="s">
        <v>199</v>
      </c>
      <c r="C200">
        <v>542351</v>
      </c>
      <c r="D200" t="s">
        <v>951</v>
      </c>
      <c r="E200" t="s">
        <v>952</v>
      </c>
      <c r="F200" t="s">
        <v>953</v>
      </c>
      <c r="G200" t="s">
        <v>954</v>
      </c>
      <c r="H200" t="s">
        <v>911</v>
      </c>
      <c r="I200" t="s">
        <v>560</v>
      </c>
      <c r="J200" t="s">
        <v>955</v>
      </c>
      <c r="K200" t="s">
        <v>55</v>
      </c>
      <c r="L200" t="s">
        <v>55</v>
      </c>
      <c r="M200" t="s">
        <v>810</v>
      </c>
    </row>
    <row r="201" spans="1:13" ht="15" customHeight="1" x14ac:dyDescent="0.25">
      <c r="A201" t="s">
        <v>1306</v>
      </c>
      <c r="B201" t="s">
        <v>199</v>
      </c>
      <c r="C201">
        <v>542290</v>
      </c>
      <c r="D201" t="s">
        <v>956</v>
      </c>
      <c r="E201" t="s">
        <v>957</v>
      </c>
      <c r="F201" t="s">
        <v>958</v>
      </c>
      <c r="G201" t="s">
        <v>959</v>
      </c>
      <c r="H201" t="s">
        <v>567</v>
      </c>
      <c r="I201" t="s">
        <v>560</v>
      </c>
      <c r="J201" t="s">
        <v>715</v>
      </c>
      <c r="K201" t="s">
        <v>55</v>
      </c>
      <c r="L201" t="s">
        <v>55</v>
      </c>
      <c r="M201" t="s">
        <v>933</v>
      </c>
    </row>
    <row r="202" spans="1:13" ht="15" customHeight="1" x14ac:dyDescent="0.25">
      <c r="A202" t="s">
        <v>1306</v>
      </c>
      <c r="B202" t="s">
        <v>199</v>
      </c>
      <c r="C202">
        <v>542242</v>
      </c>
      <c r="D202" t="s">
        <v>960</v>
      </c>
      <c r="E202" t="s">
        <v>961</v>
      </c>
      <c r="F202" t="s">
        <v>962</v>
      </c>
      <c r="G202" t="s">
        <v>963</v>
      </c>
      <c r="H202" t="s">
        <v>558</v>
      </c>
      <c r="I202" t="s">
        <v>560</v>
      </c>
      <c r="J202" t="s">
        <v>615</v>
      </c>
      <c r="K202" t="s">
        <v>55</v>
      </c>
      <c r="L202" t="s">
        <v>55</v>
      </c>
      <c r="M202" t="s">
        <v>964</v>
      </c>
    </row>
    <row r="203" spans="1:13" ht="15" customHeight="1" x14ac:dyDescent="0.25">
      <c r="A203" t="s">
        <v>1306</v>
      </c>
      <c r="B203" t="s">
        <v>199</v>
      </c>
      <c r="C203">
        <v>542361</v>
      </c>
      <c r="D203" t="s">
        <v>965</v>
      </c>
      <c r="E203" t="s">
        <v>966</v>
      </c>
      <c r="F203" t="s">
        <v>967</v>
      </c>
      <c r="G203" t="s">
        <v>968</v>
      </c>
      <c r="H203" t="s">
        <v>563</v>
      </c>
      <c r="I203" t="s">
        <v>560</v>
      </c>
      <c r="J203" t="s">
        <v>720</v>
      </c>
      <c r="K203" t="s">
        <v>55</v>
      </c>
      <c r="L203" t="s">
        <v>55</v>
      </c>
      <c r="M203" t="s">
        <v>778</v>
      </c>
    </row>
    <row r="204" spans="1:13" ht="15" customHeight="1" x14ac:dyDescent="0.25">
      <c r="A204" t="s">
        <v>1306</v>
      </c>
      <c r="B204" t="s">
        <v>199</v>
      </c>
      <c r="C204">
        <v>542291</v>
      </c>
      <c r="D204" t="s">
        <v>969</v>
      </c>
      <c r="E204" t="s">
        <v>970</v>
      </c>
      <c r="F204" t="s">
        <v>971</v>
      </c>
      <c r="G204" t="s">
        <v>972</v>
      </c>
      <c r="H204" t="s">
        <v>558</v>
      </c>
      <c r="I204" t="s">
        <v>560</v>
      </c>
      <c r="J204" t="s">
        <v>609</v>
      </c>
      <c r="K204" t="s">
        <v>55</v>
      </c>
      <c r="L204" t="s">
        <v>55</v>
      </c>
      <c r="M204" t="s">
        <v>973</v>
      </c>
    </row>
    <row r="205" spans="1:13" ht="15" customHeight="1" x14ac:dyDescent="0.25">
      <c r="A205" t="s">
        <v>1306</v>
      </c>
      <c r="B205" t="s">
        <v>199</v>
      </c>
      <c r="C205">
        <v>542410</v>
      </c>
      <c r="D205" t="s">
        <v>974</v>
      </c>
      <c r="E205" t="s">
        <v>975</v>
      </c>
      <c r="F205" t="s">
        <v>976</v>
      </c>
      <c r="G205" t="s">
        <v>977</v>
      </c>
      <c r="H205" t="s">
        <v>911</v>
      </c>
      <c r="I205" t="s">
        <v>560</v>
      </c>
      <c r="J205" t="s">
        <v>615</v>
      </c>
      <c r="K205" t="s">
        <v>55</v>
      </c>
      <c r="L205" t="s">
        <v>55</v>
      </c>
      <c r="M205" t="s">
        <v>752</v>
      </c>
    </row>
    <row r="206" spans="1:13" ht="15" customHeight="1" x14ac:dyDescent="0.25">
      <c r="A206" t="s">
        <v>1306</v>
      </c>
      <c r="B206" t="s">
        <v>199</v>
      </c>
      <c r="C206">
        <v>542358</v>
      </c>
      <c r="D206" t="s">
        <v>978</v>
      </c>
      <c r="E206" t="s">
        <v>979</v>
      </c>
      <c r="F206" t="s">
        <v>980</v>
      </c>
      <c r="G206" t="s">
        <v>981</v>
      </c>
      <c r="H206" t="s">
        <v>571</v>
      </c>
      <c r="I206" t="s">
        <v>560</v>
      </c>
      <c r="J206" t="s">
        <v>631</v>
      </c>
      <c r="K206" t="s">
        <v>55</v>
      </c>
      <c r="L206" t="s">
        <v>55</v>
      </c>
      <c r="M206" t="s">
        <v>745</v>
      </c>
    </row>
    <row r="207" spans="1:13" ht="15" customHeight="1" x14ac:dyDescent="0.25">
      <c r="A207" t="s">
        <v>1306</v>
      </c>
      <c r="B207" t="s">
        <v>199</v>
      </c>
      <c r="C207">
        <v>542231</v>
      </c>
      <c r="D207" t="s">
        <v>982</v>
      </c>
      <c r="E207" t="s">
        <v>983</v>
      </c>
      <c r="F207" t="s">
        <v>984</v>
      </c>
      <c r="G207" t="s">
        <v>985</v>
      </c>
      <c r="H207" t="s">
        <v>571</v>
      </c>
      <c r="I207" t="s">
        <v>560</v>
      </c>
      <c r="J207" t="s">
        <v>609</v>
      </c>
      <c r="K207" t="s">
        <v>55</v>
      </c>
      <c r="L207" t="s">
        <v>55</v>
      </c>
      <c r="M207" t="s">
        <v>771</v>
      </c>
    </row>
    <row r="208" spans="1:13" ht="15" customHeight="1" x14ac:dyDescent="0.25">
      <c r="A208" t="s">
        <v>1306</v>
      </c>
      <c r="B208" t="s">
        <v>199</v>
      </c>
      <c r="C208">
        <v>542304</v>
      </c>
      <c r="D208" t="s">
        <v>986</v>
      </c>
      <c r="E208" t="s">
        <v>987</v>
      </c>
      <c r="F208" t="s">
        <v>988</v>
      </c>
      <c r="G208" t="s">
        <v>989</v>
      </c>
      <c r="H208" t="s">
        <v>757</v>
      </c>
      <c r="I208" t="s">
        <v>560</v>
      </c>
      <c r="J208" t="s">
        <v>620</v>
      </c>
      <c r="K208" t="s">
        <v>55</v>
      </c>
      <c r="L208" t="s">
        <v>55</v>
      </c>
      <c r="M208" t="s">
        <v>990</v>
      </c>
    </row>
    <row r="209" spans="1:13" ht="15" customHeight="1" x14ac:dyDescent="0.25">
      <c r="A209" t="s">
        <v>1306</v>
      </c>
      <c r="B209" t="s">
        <v>199</v>
      </c>
      <c r="C209">
        <v>542380</v>
      </c>
      <c r="D209" t="s">
        <v>991</v>
      </c>
      <c r="E209" t="s">
        <v>992</v>
      </c>
      <c r="F209" t="s">
        <v>993</v>
      </c>
      <c r="G209" t="s">
        <v>994</v>
      </c>
      <c r="H209" t="s">
        <v>763</v>
      </c>
      <c r="I209" t="s">
        <v>560</v>
      </c>
      <c r="J209" t="s">
        <v>715</v>
      </c>
      <c r="K209" t="s">
        <v>55</v>
      </c>
      <c r="L209" t="s">
        <v>55</v>
      </c>
      <c r="M209" t="s">
        <v>745</v>
      </c>
    </row>
    <row r="210" spans="1:13" ht="15" customHeight="1" x14ac:dyDescent="0.25">
      <c r="A210" t="s">
        <v>1306</v>
      </c>
      <c r="B210" t="s">
        <v>199</v>
      </c>
      <c r="C210">
        <v>542367</v>
      </c>
      <c r="D210" t="s">
        <v>995</v>
      </c>
      <c r="E210" t="s">
        <v>996</v>
      </c>
      <c r="F210" t="s">
        <v>997</v>
      </c>
      <c r="G210" t="s">
        <v>998</v>
      </c>
      <c r="H210" t="s">
        <v>999</v>
      </c>
      <c r="I210" t="s">
        <v>560</v>
      </c>
      <c r="J210" t="s">
        <v>620</v>
      </c>
      <c r="K210" t="s">
        <v>55</v>
      </c>
      <c r="L210" t="s">
        <v>55</v>
      </c>
      <c r="M210" t="s">
        <v>752</v>
      </c>
    </row>
    <row r="211" spans="1:13" ht="15" customHeight="1" x14ac:dyDescent="0.25">
      <c r="A211" t="s">
        <v>1306</v>
      </c>
      <c r="B211" t="s">
        <v>199</v>
      </c>
      <c r="C211">
        <v>542229</v>
      </c>
      <c r="D211" t="s">
        <v>1000</v>
      </c>
      <c r="E211" t="s">
        <v>560</v>
      </c>
      <c r="F211" t="s">
        <v>1001</v>
      </c>
      <c r="G211" t="s">
        <v>1002</v>
      </c>
      <c r="H211" t="s">
        <v>571</v>
      </c>
      <c r="I211" t="s">
        <v>560</v>
      </c>
      <c r="J211" t="s">
        <v>1003</v>
      </c>
      <c r="K211" t="s">
        <v>55</v>
      </c>
      <c r="L211" t="s">
        <v>55</v>
      </c>
      <c r="M211" t="s">
        <v>827</v>
      </c>
    </row>
    <row r="212" spans="1:13" ht="15" customHeight="1" x14ac:dyDescent="0.25">
      <c r="A212" t="s">
        <v>1306</v>
      </c>
      <c r="B212" t="s">
        <v>199</v>
      </c>
      <c r="C212">
        <v>542232</v>
      </c>
      <c r="D212" t="s">
        <v>1004</v>
      </c>
      <c r="E212" t="s">
        <v>1005</v>
      </c>
      <c r="F212" t="s">
        <v>1006</v>
      </c>
      <c r="G212" t="s">
        <v>1007</v>
      </c>
      <c r="H212" t="s">
        <v>1008</v>
      </c>
      <c r="I212" t="s">
        <v>560</v>
      </c>
      <c r="J212" t="s">
        <v>615</v>
      </c>
      <c r="K212" t="s">
        <v>55</v>
      </c>
      <c r="L212" t="s">
        <v>55</v>
      </c>
      <c r="M212" t="s">
        <v>912</v>
      </c>
    </row>
    <row r="213" spans="1:13" ht="15" customHeight="1" x14ac:dyDescent="0.25">
      <c r="A213" t="s">
        <v>1306</v>
      </c>
      <c r="B213" t="s">
        <v>199</v>
      </c>
      <c r="C213">
        <v>542211</v>
      </c>
      <c r="D213" t="s">
        <v>1009</v>
      </c>
      <c r="E213" t="s">
        <v>1010</v>
      </c>
      <c r="F213" t="s">
        <v>1011</v>
      </c>
      <c r="G213" t="s">
        <v>1012</v>
      </c>
      <c r="H213" t="s">
        <v>567</v>
      </c>
      <c r="I213" t="s">
        <v>560</v>
      </c>
      <c r="J213" t="s">
        <v>715</v>
      </c>
      <c r="K213" t="s">
        <v>55</v>
      </c>
      <c r="L213" t="s">
        <v>55</v>
      </c>
      <c r="M213" t="s">
        <v>1013</v>
      </c>
    </row>
    <row r="214" spans="1:13" ht="15" customHeight="1" x14ac:dyDescent="0.25">
      <c r="A214" t="s">
        <v>1306</v>
      </c>
      <c r="B214" t="s">
        <v>199</v>
      </c>
      <c r="C214">
        <v>542390</v>
      </c>
      <c r="D214" t="s">
        <v>1014</v>
      </c>
      <c r="E214" t="s">
        <v>1015</v>
      </c>
      <c r="F214" t="s">
        <v>1016</v>
      </c>
      <c r="G214" t="s">
        <v>1017</v>
      </c>
      <c r="H214" t="s">
        <v>567</v>
      </c>
      <c r="I214" t="s">
        <v>560</v>
      </c>
      <c r="J214" t="s">
        <v>770</v>
      </c>
      <c r="K214" t="s">
        <v>55</v>
      </c>
      <c r="L214" t="s">
        <v>55</v>
      </c>
      <c r="M214" t="s">
        <v>758</v>
      </c>
    </row>
    <row r="215" spans="1:13" ht="15" customHeight="1" x14ac:dyDescent="0.25">
      <c r="A215" t="s">
        <v>1306</v>
      </c>
      <c r="B215" t="s">
        <v>199</v>
      </c>
      <c r="C215">
        <v>542588</v>
      </c>
      <c r="D215" t="s">
        <v>1018</v>
      </c>
      <c r="E215" t="s">
        <v>1019</v>
      </c>
      <c r="F215" t="s">
        <v>1020</v>
      </c>
      <c r="G215" t="s">
        <v>1021</v>
      </c>
      <c r="H215" t="s">
        <v>571</v>
      </c>
      <c r="I215" t="s">
        <v>560</v>
      </c>
      <c r="J215" t="s">
        <v>797</v>
      </c>
      <c r="K215" t="s">
        <v>55</v>
      </c>
      <c r="L215" t="s">
        <v>55</v>
      </c>
      <c r="M215" t="s">
        <v>1013</v>
      </c>
    </row>
    <row r="216" spans="1:13" ht="15" customHeight="1" x14ac:dyDescent="0.25">
      <c r="A216" t="s">
        <v>1306</v>
      </c>
      <c r="B216" t="s">
        <v>199</v>
      </c>
      <c r="C216">
        <v>542394</v>
      </c>
      <c r="D216" t="s">
        <v>1022</v>
      </c>
      <c r="E216" t="s">
        <v>1023</v>
      </c>
      <c r="F216" t="s">
        <v>1024</v>
      </c>
      <c r="G216" t="s">
        <v>1025</v>
      </c>
      <c r="H216" t="s">
        <v>558</v>
      </c>
      <c r="I216" t="s">
        <v>560</v>
      </c>
      <c r="J216" t="s">
        <v>689</v>
      </c>
      <c r="K216" t="s">
        <v>55</v>
      </c>
      <c r="L216" t="s">
        <v>55</v>
      </c>
      <c r="M216" t="s">
        <v>752</v>
      </c>
    </row>
    <row r="217" spans="1:13" ht="15" customHeight="1" x14ac:dyDescent="0.25">
      <c r="A217" t="s">
        <v>1306</v>
      </c>
      <c r="B217" t="s">
        <v>199</v>
      </c>
      <c r="C217">
        <v>542315</v>
      </c>
      <c r="D217" t="s">
        <v>1026</v>
      </c>
      <c r="E217" t="s">
        <v>1027</v>
      </c>
      <c r="F217" t="s">
        <v>1028</v>
      </c>
      <c r="G217" t="s">
        <v>1029</v>
      </c>
      <c r="H217" t="s">
        <v>576</v>
      </c>
      <c r="I217" t="s">
        <v>560</v>
      </c>
      <c r="J217" t="s">
        <v>1030</v>
      </c>
      <c r="K217" t="s">
        <v>55</v>
      </c>
      <c r="L217" t="s">
        <v>55</v>
      </c>
      <c r="M217" t="s">
        <v>752</v>
      </c>
    </row>
    <row r="218" spans="1:13" ht="15" customHeight="1" x14ac:dyDescent="0.25">
      <c r="A218" t="s">
        <v>1306</v>
      </c>
      <c r="B218" t="s">
        <v>199</v>
      </c>
      <c r="C218">
        <v>542318</v>
      </c>
      <c r="D218" t="s">
        <v>1031</v>
      </c>
      <c r="E218" t="s">
        <v>1032</v>
      </c>
      <c r="F218" t="s">
        <v>1033</v>
      </c>
      <c r="G218" t="s">
        <v>1034</v>
      </c>
      <c r="H218" t="s">
        <v>576</v>
      </c>
      <c r="I218" t="s">
        <v>560</v>
      </c>
      <c r="J218" t="s">
        <v>1035</v>
      </c>
      <c r="K218" t="s">
        <v>55</v>
      </c>
      <c r="L218" t="s">
        <v>55</v>
      </c>
      <c r="M218" t="s">
        <v>752</v>
      </c>
    </row>
    <row r="219" spans="1:13" ht="15" customHeight="1" x14ac:dyDescent="0.25">
      <c r="A219" t="s">
        <v>1306</v>
      </c>
      <c r="B219" t="s">
        <v>199</v>
      </c>
      <c r="C219">
        <v>542208</v>
      </c>
      <c r="D219" t="s">
        <v>1036</v>
      </c>
      <c r="E219" t="s">
        <v>1037</v>
      </c>
      <c r="F219" t="s">
        <v>1038</v>
      </c>
      <c r="G219" t="s">
        <v>1039</v>
      </c>
      <c r="H219" t="s">
        <v>999</v>
      </c>
      <c r="I219" t="s">
        <v>560</v>
      </c>
      <c r="J219" t="s">
        <v>770</v>
      </c>
      <c r="K219" t="s">
        <v>55</v>
      </c>
      <c r="L219" t="s">
        <v>55</v>
      </c>
      <c r="M219" t="s">
        <v>1040</v>
      </c>
    </row>
    <row r="220" spans="1:13" ht="15" customHeight="1" x14ac:dyDescent="0.25">
      <c r="A220" t="s">
        <v>1306</v>
      </c>
      <c r="B220" t="s">
        <v>199</v>
      </c>
      <c r="C220">
        <v>542233</v>
      </c>
      <c r="D220" t="s">
        <v>1041</v>
      </c>
      <c r="E220" t="s">
        <v>1042</v>
      </c>
      <c r="F220" t="s">
        <v>1043</v>
      </c>
      <c r="G220" t="s">
        <v>1044</v>
      </c>
      <c r="H220" t="s">
        <v>558</v>
      </c>
      <c r="I220" t="s">
        <v>560</v>
      </c>
      <c r="J220" t="s">
        <v>660</v>
      </c>
      <c r="K220" t="s">
        <v>55</v>
      </c>
      <c r="L220" t="s">
        <v>55</v>
      </c>
      <c r="M220" t="s">
        <v>1045</v>
      </c>
    </row>
    <row r="221" spans="1:13" ht="15" customHeight="1" x14ac:dyDescent="0.25">
      <c r="A221" t="s">
        <v>1306</v>
      </c>
      <c r="B221" t="s">
        <v>199</v>
      </c>
      <c r="C221">
        <v>542357</v>
      </c>
      <c r="D221" t="s">
        <v>1046</v>
      </c>
      <c r="E221" t="s">
        <v>1047</v>
      </c>
      <c r="F221" t="s">
        <v>1048</v>
      </c>
      <c r="G221" t="s">
        <v>1049</v>
      </c>
      <c r="H221" t="s">
        <v>1050</v>
      </c>
      <c r="I221" t="s">
        <v>560</v>
      </c>
      <c r="J221" t="s">
        <v>1051</v>
      </c>
      <c r="K221" t="s">
        <v>55</v>
      </c>
      <c r="L221" t="s">
        <v>55</v>
      </c>
      <c r="M221" t="s">
        <v>745</v>
      </c>
    </row>
    <row r="222" spans="1:13" ht="15" customHeight="1" x14ac:dyDescent="0.25">
      <c r="A222" t="s">
        <v>1306</v>
      </c>
      <c r="B222" t="s">
        <v>199</v>
      </c>
      <c r="C222">
        <v>542363</v>
      </c>
      <c r="D222" t="s">
        <v>1052</v>
      </c>
      <c r="E222" t="s">
        <v>1053</v>
      </c>
      <c r="F222" t="s">
        <v>1054</v>
      </c>
      <c r="G222" t="s">
        <v>1055</v>
      </c>
      <c r="H222" t="s">
        <v>563</v>
      </c>
      <c r="I222" t="s">
        <v>560</v>
      </c>
      <c r="J222" t="s">
        <v>777</v>
      </c>
      <c r="K222" t="s">
        <v>55</v>
      </c>
      <c r="L222" t="s">
        <v>55</v>
      </c>
      <c r="M222" t="s">
        <v>765</v>
      </c>
    </row>
    <row r="223" spans="1:13" ht="15" customHeight="1" x14ac:dyDescent="0.25">
      <c r="A223" t="s">
        <v>1306</v>
      </c>
      <c r="B223" t="s">
        <v>199</v>
      </c>
      <c r="C223">
        <v>542362</v>
      </c>
      <c r="D223" t="s">
        <v>1052</v>
      </c>
      <c r="E223" t="s">
        <v>1056</v>
      </c>
      <c r="F223" t="s">
        <v>1057</v>
      </c>
      <c r="G223" t="s">
        <v>1058</v>
      </c>
      <c r="H223" t="s">
        <v>563</v>
      </c>
      <c r="I223" t="s">
        <v>560</v>
      </c>
      <c r="J223" t="s">
        <v>615</v>
      </c>
      <c r="K223" t="s">
        <v>55</v>
      </c>
      <c r="L223" t="s">
        <v>55</v>
      </c>
      <c r="M223" t="s">
        <v>884</v>
      </c>
    </row>
    <row r="224" spans="1:13" ht="15" customHeight="1" x14ac:dyDescent="0.25">
      <c r="A224" t="s">
        <v>1306</v>
      </c>
      <c r="B224" t="s">
        <v>199</v>
      </c>
      <c r="C224">
        <v>542310</v>
      </c>
      <c r="D224" t="s">
        <v>1059</v>
      </c>
      <c r="E224" t="s">
        <v>1060</v>
      </c>
      <c r="F224" t="s">
        <v>1061</v>
      </c>
      <c r="G224" t="s">
        <v>1062</v>
      </c>
      <c r="H224" t="s">
        <v>576</v>
      </c>
      <c r="I224" t="s">
        <v>560</v>
      </c>
      <c r="J224" t="s">
        <v>615</v>
      </c>
      <c r="K224" t="s">
        <v>55</v>
      </c>
      <c r="L224" t="s">
        <v>55</v>
      </c>
      <c r="M224" t="s">
        <v>844</v>
      </c>
    </row>
    <row r="225" spans="1:13" ht="15" customHeight="1" x14ac:dyDescent="0.25">
      <c r="A225" t="s">
        <v>1306</v>
      </c>
      <c r="B225" t="s">
        <v>199</v>
      </c>
      <c r="C225">
        <v>542301</v>
      </c>
      <c r="D225" t="s">
        <v>1063</v>
      </c>
      <c r="E225" t="s">
        <v>1064</v>
      </c>
      <c r="F225" t="s">
        <v>1065</v>
      </c>
      <c r="G225" t="s">
        <v>1066</v>
      </c>
      <c r="H225" t="s">
        <v>999</v>
      </c>
      <c r="I225" t="s">
        <v>560</v>
      </c>
      <c r="J225" t="s">
        <v>751</v>
      </c>
      <c r="K225" t="s">
        <v>55</v>
      </c>
      <c r="L225" t="s">
        <v>55</v>
      </c>
      <c r="M225" t="s">
        <v>884</v>
      </c>
    </row>
    <row r="226" spans="1:13" ht="15" customHeight="1" x14ac:dyDescent="0.25">
      <c r="A226" t="s">
        <v>1306</v>
      </c>
      <c r="B226" t="s">
        <v>199</v>
      </c>
      <c r="C226">
        <v>542713</v>
      </c>
      <c r="D226" t="s">
        <v>1067</v>
      </c>
      <c r="E226" t="s">
        <v>1068</v>
      </c>
      <c r="F226" t="s">
        <v>1069</v>
      </c>
      <c r="G226" t="s">
        <v>1070</v>
      </c>
      <c r="H226" t="s">
        <v>792</v>
      </c>
      <c r="I226" t="s">
        <v>560</v>
      </c>
      <c r="J226" t="s">
        <v>927</v>
      </c>
      <c r="K226" t="s">
        <v>55</v>
      </c>
      <c r="L226" t="s">
        <v>55</v>
      </c>
      <c r="M226" t="s">
        <v>810</v>
      </c>
    </row>
    <row r="227" spans="1:13" ht="15" customHeight="1" x14ac:dyDescent="0.25">
      <c r="A227" t="s">
        <v>1306</v>
      </c>
      <c r="B227" t="s">
        <v>199</v>
      </c>
      <c r="C227">
        <v>542240</v>
      </c>
      <c r="D227" t="s">
        <v>1071</v>
      </c>
      <c r="E227" t="s">
        <v>1072</v>
      </c>
      <c r="F227" t="s">
        <v>1073</v>
      </c>
      <c r="G227" t="s">
        <v>1074</v>
      </c>
      <c r="H227" t="s">
        <v>744</v>
      </c>
      <c r="I227" t="s">
        <v>560</v>
      </c>
      <c r="J227" t="s">
        <v>1075</v>
      </c>
      <c r="K227" t="s">
        <v>55</v>
      </c>
      <c r="L227" t="s">
        <v>55</v>
      </c>
      <c r="M227" t="s">
        <v>1076</v>
      </c>
    </row>
    <row r="228" spans="1:13" ht="15" customHeight="1" x14ac:dyDescent="0.25">
      <c r="A228" t="s">
        <v>1306</v>
      </c>
      <c r="B228" t="s">
        <v>199</v>
      </c>
      <c r="C228">
        <v>542303</v>
      </c>
      <c r="D228" t="s">
        <v>1077</v>
      </c>
      <c r="E228" t="s">
        <v>1078</v>
      </c>
      <c r="F228" t="s">
        <v>1079</v>
      </c>
      <c r="G228" t="s">
        <v>1080</v>
      </c>
      <c r="H228" t="s">
        <v>750</v>
      </c>
      <c r="I228" t="s">
        <v>560</v>
      </c>
      <c r="J228" t="s">
        <v>1081</v>
      </c>
      <c r="K228" t="s">
        <v>55</v>
      </c>
      <c r="L228" t="s">
        <v>55</v>
      </c>
      <c r="M228" t="s">
        <v>990</v>
      </c>
    </row>
    <row r="229" spans="1:13" ht="15" customHeight="1" x14ac:dyDescent="0.25">
      <c r="A229" t="s">
        <v>1306</v>
      </c>
      <c r="B229" t="s">
        <v>199</v>
      </c>
      <c r="C229">
        <v>542293</v>
      </c>
      <c r="D229" t="s">
        <v>562</v>
      </c>
      <c r="E229" t="s">
        <v>1082</v>
      </c>
      <c r="F229" t="s">
        <v>1083</v>
      </c>
      <c r="G229" t="s">
        <v>1084</v>
      </c>
      <c r="H229" t="s">
        <v>563</v>
      </c>
      <c r="I229" t="s">
        <v>560</v>
      </c>
      <c r="J229" t="s">
        <v>1085</v>
      </c>
      <c r="K229" t="s">
        <v>55</v>
      </c>
      <c r="L229" t="s">
        <v>55</v>
      </c>
      <c r="M229" t="s">
        <v>973</v>
      </c>
    </row>
    <row r="230" spans="1:13" ht="15" customHeight="1" x14ac:dyDescent="0.25">
      <c r="A230" t="s">
        <v>1306</v>
      </c>
      <c r="B230" t="s">
        <v>199</v>
      </c>
      <c r="C230">
        <v>542371</v>
      </c>
      <c r="D230" t="s">
        <v>562</v>
      </c>
      <c r="E230" t="s">
        <v>1086</v>
      </c>
      <c r="F230" t="s">
        <v>564</v>
      </c>
      <c r="G230" t="s">
        <v>1087</v>
      </c>
      <c r="H230" t="s">
        <v>563</v>
      </c>
      <c r="I230" t="s">
        <v>560</v>
      </c>
      <c r="J230" t="s">
        <v>615</v>
      </c>
      <c r="K230" t="s">
        <v>55</v>
      </c>
      <c r="L230" t="s">
        <v>55</v>
      </c>
      <c r="M230" t="s">
        <v>1088</v>
      </c>
    </row>
    <row r="231" spans="1:13" ht="15" customHeight="1" x14ac:dyDescent="0.25">
      <c r="A231" t="s">
        <v>1306</v>
      </c>
      <c r="B231" t="s">
        <v>199</v>
      </c>
      <c r="C231">
        <v>542491</v>
      </c>
      <c r="D231" t="s">
        <v>1089</v>
      </c>
      <c r="E231" t="s">
        <v>1090</v>
      </c>
      <c r="F231" t="s">
        <v>1091</v>
      </c>
      <c r="G231" t="s">
        <v>1092</v>
      </c>
      <c r="H231" t="s">
        <v>567</v>
      </c>
      <c r="I231" t="s">
        <v>560</v>
      </c>
      <c r="J231" t="s">
        <v>660</v>
      </c>
      <c r="K231" t="s">
        <v>55</v>
      </c>
      <c r="L231" t="s">
        <v>55</v>
      </c>
      <c r="M231" t="s">
        <v>752</v>
      </c>
    </row>
    <row r="232" spans="1:13" ht="15" customHeight="1" x14ac:dyDescent="0.25">
      <c r="A232" t="s">
        <v>1306</v>
      </c>
      <c r="B232" t="s">
        <v>199</v>
      </c>
      <c r="C232">
        <v>542309</v>
      </c>
      <c r="D232" t="s">
        <v>566</v>
      </c>
      <c r="E232" t="s">
        <v>1093</v>
      </c>
      <c r="F232" t="s">
        <v>568</v>
      </c>
      <c r="G232" t="s">
        <v>1094</v>
      </c>
      <c r="H232" t="s">
        <v>567</v>
      </c>
      <c r="I232" t="s">
        <v>560</v>
      </c>
      <c r="J232" t="s">
        <v>609</v>
      </c>
      <c r="K232" t="s">
        <v>55</v>
      </c>
      <c r="L232" t="s">
        <v>55</v>
      </c>
      <c r="M232" t="s">
        <v>1088</v>
      </c>
    </row>
    <row r="233" spans="1:13" ht="15" customHeight="1" x14ac:dyDescent="0.25">
      <c r="A233" t="s">
        <v>1306</v>
      </c>
      <c r="B233" t="s">
        <v>199</v>
      </c>
      <c r="C233">
        <v>542360</v>
      </c>
      <c r="D233" t="s">
        <v>1095</v>
      </c>
      <c r="E233" t="s">
        <v>1096</v>
      </c>
      <c r="F233" t="s">
        <v>1097</v>
      </c>
      <c r="G233" t="s">
        <v>1098</v>
      </c>
      <c r="H233" t="s">
        <v>911</v>
      </c>
      <c r="I233" t="s">
        <v>560</v>
      </c>
      <c r="J233" t="s">
        <v>615</v>
      </c>
      <c r="K233" t="s">
        <v>55</v>
      </c>
      <c r="L233" t="s">
        <v>55</v>
      </c>
      <c r="M233" t="s">
        <v>752</v>
      </c>
    </row>
    <row r="234" spans="1:13" ht="15" customHeight="1" x14ac:dyDescent="0.25">
      <c r="A234" t="s">
        <v>1306</v>
      </c>
      <c r="B234" t="s">
        <v>199</v>
      </c>
      <c r="C234">
        <v>543925</v>
      </c>
      <c r="D234" t="s">
        <v>1099</v>
      </c>
      <c r="E234" t="s">
        <v>1100</v>
      </c>
      <c r="F234" t="s">
        <v>1101</v>
      </c>
      <c r="G234" t="s">
        <v>1102</v>
      </c>
      <c r="H234" t="s">
        <v>576</v>
      </c>
      <c r="I234" t="s">
        <v>560</v>
      </c>
      <c r="J234" t="s">
        <v>603</v>
      </c>
      <c r="K234" t="s">
        <v>55</v>
      </c>
      <c r="L234" t="s">
        <v>55</v>
      </c>
      <c r="M234" t="s">
        <v>1103</v>
      </c>
    </row>
    <row r="235" spans="1:13" ht="15" customHeight="1" x14ac:dyDescent="0.25">
      <c r="A235" t="s">
        <v>1306</v>
      </c>
      <c r="B235" t="s">
        <v>199</v>
      </c>
      <c r="C235">
        <v>542373</v>
      </c>
      <c r="D235" t="s">
        <v>1104</v>
      </c>
      <c r="E235" t="s">
        <v>1105</v>
      </c>
      <c r="F235" t="s">
        <v>1106</v>
      </c>
      <c r="G235" t="s">
        <v>1107</v>
      </c>
      <c r="H235" t="s">
        <v>563</v>
      </c>
      <c r="I235" t="s">
        <v>560</v>
      </c>
      <c r="J235" t="s">
        <v>615</v>
      </c>
      <c r="K235" t="s">
        <v>55</v>
      </c>
      <c r="L235" t="s">
        <v>55</v>
      </c>
      <c r="M235" t="s">
        <v>752</v>
      </c>
    </row>
    <row r="236" spans="1:13" ht="15" customHeight="1" x14ac:dyDescent="0.25">
      <c r="A236" t="s">
        <v>1306</v>
      </c>
      <c r="B236" t="s">
        <v>199</v>
      </c>
      <c r="C236">
        <v>542370</v>
      </c>
      <c r="D236" t="s">
        <v>1108</v>
      </c>
      <c r="E236" t="s">
        <v>1109</v>
      </c>
      <c r="F236" t="s">
        <v>1110</v>
      </c>
      <c r="G236" t="s">
        <v>1111</v>
      </c>
      <c r="H236" t="s">
        <v>571</v>
      </c>
      <c r="I236" t="s">
        <v>560</v>
      </c>
      <c r="J236" t="s">
        <v>689</v>
      </c>
      <c r="K236" t="s">
        <v>55</v>
      </c>
      <c r="L236" t="s">
        <v>55</v>
      </c>
      <c r="M236" t="s">
        <v>752</v>
      </c>
    </row>
    <row r="237" spans="1:13" ht="15" customHeight="1" x14ac:dyDescent="0.25">
      <c r="A237" t="s">
        <v>1306</v>
      </c>
      <c r="B237" t="s">
        <v>199</v>
      </c>
      <c r="C237">
        <v>542589</v>
      </c>
      <c r="D237" t="s">
        <v>1112</v>
      </c>
      <c r="E237" t="s">
        <v>1113</v>
      </c>
      <c r="F237" t="s">
        <v>1114</v>
      </c>
      <c r="G237" t="s">
        <v>1115</v>
      </c>
      <c r="H237" t="s">
        <v>911</v>
      </c>
      <c r="I237" t="s">
        <v>560</v>
      </c>
      <c r="J237" t="s">
        <v>1116</v>
      </c>
      <c r="K237" t="s">
        <v>55</v>
      </c>
      <c r="L237" t="s">
        <v>55</v>
      </c>
      <c r="M237" t="s">
        <v>787</v>
      </c>
    </row>
    <row r="238" spans="1:13" ht="15" customHeight="1" x14ac:dyDescent="0.25">
      <c r="A238" t="s">
        <v>1306</v>
      </c>
      <c r="B238" t="s">
        <v>199</v>
      </c>
      <c r="C238">
        <v>542350</v>
      </c>
      <c r="D238" t="s">
        <v>1117</v>
      </c>
      <c r="E238" t="s">
        <v>1118</v>
      </c>
      <c r="F238" t="s">
        <v>1119</v>
      </c>
      <c r="G238" t="s">
        <v>1120</v>
      </c>
      <c r="H238" t="s">
        <v>889</v>
      </c>
      <c r="I238" t="s">
        <v>560</v>
      </c>
      <c r="J238" t="s">
        <v>927</v>
      </c>
      <c r="K238" t="s">
        <v>55</v>
      </c>
      <c r="L238" t="s">
        <v>55</v>
      </c>
      <c r="M238" t="s">
        <v>752</v>
      </c>
    </row>
    <row r="239" spans="1:13" ht="15" customHeight="1" x14ac:dyDescent="0.25">
      <c r="A239" t="s">
        <v>1306</v>
      </c>
      <c r="B239" t="s">
        <v>199</v>
      </c>
      <c r="C239">
        <v>543869</v>
      </c>
      <c r="D239" t="s">
        <v>1121</v>
      </c>
      <c r="E239" t="s">
        <v>1122</v>
      </c>
      <c r="F239" t="s">
        <v>1123</v>
      </c>
      <c r="G239" t="s">
        <v>1124</v>
      </c>
      <c r="H239" t="s">
        <v>576</v>
      </c>
      <c r="I239" t="s">
        <v>560</v>
      </c>
      <c r="J239" t="s">
        <v>603</v>
      </c>
      <c r="K239" t="s">
        <v>55</v>
      </c>
      <c r="L239" t="s">
        <v>55</v>
      </c>
      <c r="M239" t="s">
        <v>752</v>
      </c>
    </row>
    <row r="240" spans="1:13" ht="15" customHeight="1" x14ac:dyDescent="0.25">
      <c r="A240" t="s">
        <v>1306</v>
      </c>
      <c r="B240" t="s">
        <v>199</v>
      </c>
      <c r="C240">
        <v>542385</v>
      </c>
      <c r="D240" t="s">
        <v>1125</v>
      </c>
      <c r="E240" t="s">
        <v>1126</v>
      </c>
      <c r="F240" t="s">
        <v>1127</v>
      </c>
      <c r="G240" t="s">
        <v>1128</v>
      </c>
      <c r="H240" t="s">
        <v>792</v>
      </c>
      <c r="I240" t="s">
        <v>560</v>
      </c>
      <c r="J240" t="s">
        <v>1129</v>
      </c>
      <c r="K240" t="s">
        <v>55</v>
      </c>
      <c r="L240" t="s">
        <v>55</v>
      </c>
      <c r="M240" t="s">
        <v>787</v>
      </c>
    </row>
    <row r="241" spans="1:13" ht="15" customHeight="1" x14ac:dyDescent="0.25">
      <c r="A241" t="s">
        <v>1306</v>
      </c>
      <c r="B241" t="s">
        <v>199</v>
      </c>
      <c r="C241">
        <v>542397</v>
      </c>
      <c r="D241" t="s">
        <v>1125</v>
      </c>
      <c r="E241" t="s">
        <v>1130</v>
      </c>
      <c r="F241" t="s">
        <v>1131</v>
      </c>
      <c r="G241" t="s">
        <v>1132</v>
      </c>
      <c r="H241" t="s">
        <v>792</v>
      </c>
      <c r="I241" t="s">
        <v>560</v>
      </c>
      <c r="J241" t="s">
        <v>603</v>
      </c>
      <c r="K241" t="s">
        <v>55</v>
      </c>
      <c r="L241" t="s">
        <v>55</v>
      </c>
      <c r="M241" t="s">
        <v>778</v>
      </c>
    </row>
    <row r="242" spans="1:13" ht="15" customHeight="1" x14ac:dyDescent="0.25">
      <c r="A242" t="s">
        <v>1306</v>
      </c>
      <c r="B242" t="s">
        <v>199</v>
      </c>
      <c r="C242">
        <v>542289</v>
      </c>
      <c r="D242" t="s">
        <v>1133</v>
      </c>
      <c r="E242" t="s">
        <v>1134</v>
      </c>
      <c r="F242" t="s">
        <v>1135</v>
      </c>
      <c r="G242" t="s">
        <v>1136</v>
      </c>
      <c r="H242" t="s">
        <v>576</v>
      </c>
      <c r="I242" t="s">
        <v>560</v>
      </c>
      <c r="J242" t="s">
        <v>615</v>
      </c>
      <c r="K242" t="s">
        <v>55</v>
      </c>
      <c r="L242" t="s">
        <v>55</v>
      </c>
      <c r="M242" t="s">
        <v>1103</v>
      </c>
    </row>
    <row r="243" spans="1:13" ht="15" customHeight="1" x14ac:dyDescent="0.25">
      <c r="A243" t="s">
        <v>1306</v>
      </c>
      <c r="B243" t="s">
        <v>199</v>
      </c>
      <c r="C243">
        <v>542313</v>
      </c>
      <c r="D243" t="s">
        <v>1137</v>
      </c>
      <c r="E243" t="s">
        <v>1138</v>
      </c>
      <c r="F243" t="s">
        <v>1139</v>
      </c>
      <c r="G243" t="s">
        <v>1140</v>
      </c>
      <c r="H243" t="s">
        <v>576</v>
      </c>
      <c r="I243" t="s">
        <v>560</v>
      </c>
      <c r="J243" t="s">
        <v>1141</v>
      </c>
      <c r="K243" t="s">
        <v>55</v>
      </c>
      <c r="L243" t="s">
        <v>55</v>
      </c>
      <c r="M243" t="s">
        <v>1142</v>
      </c>
    </row>
    <row r="244" spans="1:13" ht="15" customHeight="1" x14ac:dyDescent="0.25">
      <c r="A244" t="s">
        <v>1306</v>
      </c>
      <c r="B244" t="s">
        <v>199</v>
      </c>
      <c r="C244">
        <v>542320</v>
      </c>
      <c r="D244" t="s">
        <v>1143</v>
      </c>
      <c r="E244" t="s">
        <v>1144</v>
      </c>
      <c r="F244" t="s">
        <v>1145</v>
      </c>
      <c r="G244" t="s">
        <v>1146</v>
      </c>
      <c r="H244" t="s">
        <v>563</v>
      </c>
      <c r="I244" t="s">
        <v>560</v>
      </c>
      <c r="J244" t="s">
        <v>689</v>
      </c>
      <c r="K244" t="s">
        <v>55</v>
      </c>
      <c r="L244" t="s">
        <v>55</v>
      </c>
      <c r="M244" t="s">
        <v>1147</v>
      </c>
    </row>
    <row r="245" spans="1:13" ht="15" customHeight="1" x14ac:dyDescent="0.25">
      <c r="A245" t="s">
        <v>1306</v>
      </c>
      <c r="B245" t="s">
        <v>199</v>
      </c>
      <c r="C245">
        <v>542237</v>
      </c>
      <c r="D245" t="s">
        <v>1148</v>
      </c>
      <c r="E245" t="s">
        <v>1149</v>
      </c>
      <c r="F245" t="s">
        <v>1150</v>
      </c>
      <c r="G245" t="s">
        <v>1151</v>
      </c>
      <c r="H245" t="s">
        <v>757</v>
      </c>
      <c r="I245" t="s">
        <v>560</v>
      </c>
      <c r="J245" t="s">
        <v>1152</v>
      </c>
      <c r="K245" t="s">
        <v>55</v>
      </c>
      <c r="L245" t="s">
        <v>55</v>
      </c>
      <c r="M245" t="s">
        <v>1040</v>
      </c>
    </row>
    <row r="246" spans="1:13" ht="15" customHeight="1" x14ac:dyDescent="0.25">
      <c r="A246" t="s">
        <v>1306</v>
      </c>
      <c r="B246" t="s">
        <v>199</v>
      </c>
      <c r="C246">
        <v>542236</v>
      </c>
      <c r="D246" t="s">
        <v>1148</v>
      </c>
      <c r="E246" t="s">
        <v>1153</v>
      </c>
      <c r="F246" t="s">
        <v>1154</v>
      </c>
      <c r="G246" t="s">
        <v>1155</v>
      </c>
      <c r="H246" t="s">
        <v>757</v>
      </c>
      <c r="I246" t="s">
        <v>560</v>
      </c>
      <c r="J246" t="s">
        <v>1156</v>
      </c>
      <c r="K246" t="s">
        <v>55</v>
      </c>
      <c r="L246" t="s">
        <v>55</v>
      </c>
      <c r="M246" t="s">
        <v>827</v>
      </c>
    </row>
    <row r="247" spans="1:13" ht="15" customHeight="1" x14ac:dyDescent="0.25">
      <c r="A247" t="s">
        <v>1306</v>
      </c>
      <c r="B247" t="s">
        <v>199</v>
      </c>
      <c r="C247">
        <v>542325</v>
      </c>
      <c r="D247" t="s">
        <v>1157</v>
      </c>
      <c r="E247" t="s">
        <v>1158</v>
      </c>
      <c r="F247" t="s">
        <v>1159</v>
      </c>
      <c r="G247" t="s">
        <v>1160</v>
      </c>
      <c r="H247" t="s">
        <v>567</v>
      </c>
      <c r="I247" t="s">
        <v>560</v>
      </c>
      <c r="J247" t="s">
        <v>1161</v>
      </c>
      <c r="K247" t="s">
        <v>55</v>
      </c>
      <c r="L247" t="s">
        <v>55</v>
      </c>
      <c r="M247" t="s">
        <v>752</v>
      </c>
    </row>
    <row r="248" spans="1:13" ht="15" customHeight="1" x14ac:dyDescent="0.25">
      <c r="A248" t="s">
        <v>1306</v>
      </c>
      <c r="B248" t="s">
        <v>199</v>
      </c>
      <c r="C248">
        <v>542209</v>
      </c>
      <c r="D248" t="s">
        <v>1162</v>
      </c>
      <c r="E248" t="s">
        <v>1163</v>
      </c>
      <c r="F248" t="s">
        <v>1164</v>
      </c>
      <c r="G248" t="s">
        <v>1165</v>
      </c>
      <c r="H248" t="s">
        <v>999</v>
      </c>
      <c r="I248" t="s">
        <v>560</v>
      </c>
      <c r="J248" t="s">
        <v>596</v>
      </c>
      <c r="K248" t="s">
        <v>55</v>
      </c>
      <c r="L248" t="s">
        <v>55</v>
      </c>
      <c r="M248" t="s">
        <v>1045</v>
      </c>
    </row>
    <row r="249" spans="1:13" ht="15" customHeight="1" x14ac:dyDescent="0.25">
      <c r="A249" t="s">
        <v>1306</v>
      </c>
      <c r="B249" t="s">
        <v>199</v>
      </c>
      <c r="C249">
        <v>542470</v>
      </c>
      <c r="D249" t="s">
        <v>1166</v>
      </c>
      <c r="E249" t="s">
        <v>1167</v>
      </c>
      <c r="F249" t="s">
        <v>1168</v>
      </c>
      <c r="G249" t="s">
        <v>1169</v>
      </c>
      <c r="H249" t="s">
        <v>757</v>
      </c>
      <c r="I249" t="s">
        <v>560</v>
      </c>
      <c r="J249" t="s">
        <v>1170</v>
      </c>
      <c r="K249" t="s">
        <v>55</v>
      </c>
      <c r="L249" t="s">
        <v>55</v>
      </c>
      <c r="M249" t="s">
        <v>758</v>
      </c>
    </row>
    <row r="250" spans="1:13" ht="15" customHeight="1" x14ac:dyDescent="0.25">
      <c r="A250" t="s">
        <v>1306</v>
      </c>
      <c r="B250" t="s">
        <v>199</v>
      </c>
      <c r="C250">
        <v>542308</v>
      </c>
      <c r="D250" t="s">
        <v>1171</v>
      </c>
      <c r="E250" t="s">
        <v>1172</v>
      </c>
      <c r="F250" t="s">
        <v>1173</v>
      </c>
      <c r="G250" t="s">
        <v>1174</v>
      </c>
      <c r="H250" t="s">
        <v>911</v>
      </c>
      <c r="I250" t="s">
        <v>560</v>
      </c>
      <c r="J250" t="s">
        <v>609</v>
      </c>
      <c r="K250" t="s">
        <v>55</v>
      </c>
      <c r="L250" t="s">
        <v>55</v>
      </c>
      <c r="M250" t="s">
        <v>815</v>
      </c>
    </row>
    <row r="251" spans="1:13" ht="15" customHeight="1" x14ac:dyDescent="0.25">
      <c r="A251" t="s">
        <v>1306</v>
      </c>
      <c r="B251" t="s">
        <v>199</v>
      </c>
      <c r="C251">
        <v>542352</v>
      </c>
      <c r="D251" t="s">
        <v>1175</v>
      </c>
      <c r="E251" t="s">
        <v>1176</v>
      </c>
      <c r="F251" t="s">
        <v>1177</v>
      </c>
      <c r="G251" t="s">
        <v>1178</v>
      </c>
      <c r="H251" t="s">
        <v>571</v>
      </c>
      <c r="I251" t="s">
        <v>560</v>
      </c>
      <c r="J251" t="s">
        <v>603</v>
      </c>
      <c r="K251" t="s">
        <v>55</v>
      </c>
      <c r="L251" t="s">
        <v>55</v>
      </c>
      <c r="M251" t="s">
        <v>765</v>
      </c>
    </row>
    <row r="252" spans="1:13" ht="15" customHeight="1" x14ac:dyDescent="0.25">
      <c r="A252" t="s">
        <v>1306</v>
      </c>
      <c r="B252" t="s">
        <v>199</v>
      </c>
      <c r="C252">
        <v>543429</v>
      </c>
      <c r="D252" t="s">
        <v>1175</v>
      </c>
      <c r="E252" t="s">
        <v>1179</v>
      </c>
      <c r="F252" t="s">
        <v>1180</v>
      </c>
      <c r="G252" t="s">
        <v>1181</v>
      </c>
      <c r="H252" t="s">
        <v>571</v>
      </c>
      <c r="I252" t="s">
        <v>560</v>
      </c>
      <c r="J252" t="s">
        <v>1182</v>
      </c>
      <c r="K252" t="s">
        <v>55</v>
      </c>
      <c r="L252" t="s">
        <v>55</v>
      </c>
      <c r="M252" t="s">
        <v>752</v>
      </c>
    </row>
    <row r="253" spans="1:13" ht="15" customHeight="1" x14ac:dyDescent="0.25">
      <c r="A253" t="s">
        <v>1306</v>
      </c>
      <c r="B253" t="s">
        <v>199</v>
      </c>
      <c r="C253">
        <v>543249</v>
      </c>
      <c r="D253" t="s">
        <v>1183</v>
      </c>
      <c r="E253" t="s">
        <v>1184</v>
      </c>
      <c r="F253" t="s">
        <v>1185</v>
      </c>
      <c r="G253" t="s">
        <v>1186</v>
      </c>
      <c r="H253" t="s">
        <v>757</v>
      </c>
      <c r="I253" t="s">
        <v>560</v>
      </c>
      <c r="J253" t="s">
        <v>615</v>
      </c>
      <c r="K253" t="s">
        <v>55</v>
      </c>
      <c r="L253" t="s">
        <v>55</v>
      </c>
      <c r="M253" t="s">
        <v>787</v>
      </c>
    </row>
    <row r="254" spans="1:13" ht="15" customHeight="1" x14ac:dyDescent="0.25">
      <c r="A254" t="s">
        <v>1306</v>
      </c>
      <c r="B254" t="s">
        <v>199</v>
      </c>
      <c r="C254">
        <v>543027</v>
      </c>
      <c r="D254" t="s">
        <v>1187</v>
      </c>
      <c r="E254" t="s">
        <v>1188</v>
      </c>
      <c r="F254" t="s">
        <v>1189</v>
      </c>
      <c r="G254" t="s">
        <v>1190</v>
      </c>
      <c r="H254" t="s">
        <v>911</v>
      </c>
      <c r="I254" t="s">
        <v>560</v>
      </c>
      <c r="J254" t="s">
        <v>631</v>
      </c>
      <c r="K254" t="s">
        <v>55</v>
      </c>
      <c r="L254" t="s">
        <v>55</v>
      </c>
      <c r="M254" t="s">
        <v>912</v>
      </c>
    </row>
    <row r="255" spans="1:13" ht="15" customHeight="1" x14ac:dyDescent="0.25">
      <c r="A255" t="s">
        <v>1306</v>
      </c>
      <c r="B255" t="s">
        <v>199</v>
      </c>
      <c r="C255">
        <v>542244</v>
      </c>
      <c r="D255" t="s">
        <v>1191</v>
      </c>
      <c r="E255" t="s">
        <v>1192</v>
      </c>
      <c r="F255" t="s">
        <v>1193</v>
      </c>
      <c r="G255" t="s">
        <v>1194</v>
      </c>
      <c r="H255" t="s">
        <v>744</v>
      </c>
      <c r="I255" t="s">
        <v>560</v>
      </c>
      <c r="J255" t="s">
        <v>660</v>
      </c>
      <c r="K255" t="s">
        <v>55</v>
      </c>
      <c r="L255" t="s">
        <v>55</v>
      </c>
      <c r="M255" t="s">
        <v>1013</v>
      </c>
    </row>
    <row r="256" spans="1:13" ht="15" customHeight="1" x14ac:dyDescent="0.25">
      <c r="A256" t="s">
        <v>1306</v>
      </c>
      <c r="B256" t="s">
        <v>199</v>
      </c>
      <c r="C256">
        <v>542349</v>
      </c>
      <c r="D256" t="s">
        <v>1195</v>
      </c>
      <c r="E256" t="s">
        <v>1196</v>
      </c>
      <c r="F256" t="s">
        <v>1197</v>
      </c>
      <c r="G256" t="s">
        <v>1198</v>
      </c>
      <c r="H256" t="s">
        <v>1199</v>
      </c>
      <c r="I256" t="s">
        <v>560</v>
      </c>
      <c r="J256" t="s">
        <v>927</v>
      </c>
      <c r="K256" t="s">
        <v>55</v>
      </c>
      <c r="L256" t="s">
        <v>55</v>
      </c>
      <c r="M256" t="s">
        <v>804</v>
      </c>
    </row>
    <row r="257" spans="1:13" ht="15" customHeight="1" x14ac:dyDescent="0.25">
      <c r="A257" t="s">
        <v>1306</v>
      </c>
      <c r="B257" t="s">
        <v>199</v>
      </c>
      <c r="C257">
        <v>542329</v>
      </c>
      <c r="D257" t="s">
        <v>1200</v>
      </c>
      <c r="E257" t="s">
        <v>1201</v>
      </c>
      <c r="F257" t="s">
        <v>1202</v>
      </c>
      <c r="G257" t="s">
        <v>1203</v>
      </c>
      <c r="H257" t="s">
        <v>849</v>
      </c>
      <c r="I257" t="s">
        <v>560</v>
      </c>
      <c r="J257" t="s">
        <v>689</v>
      </c>
      <c r="K257" t="s">
        <v>55</v>
      </c>
      <c r="L257" t="s">
        <v>55</v>
      </c>
      <c r="M257" t="s">
        <v>844</v>
      </c>
    </row>
    <row r="258" spans="1:13" ht="15" customHeight="1" x14ac:dyDescent="0.25">
      <c r="A258" t="s">
        <v>1306</v>
      </c>
      <c r="B258" t="s">
        <v>199</v>
      </c>
      <c r="C258">
        <v>542238</v>
      </c>
      <c r="D258" t="s">
        <v>1204</v>
      </c>
      <c r="E258" t="s">
        <v>1205</v>
      </c>
      <c r="F258" t="s">
        <v>1206</v>
      </c>
      <c r="G258" t="s">
        <v>1207</v>
      </c>
      <c r="H258" t="s">
        <v>911</v>
      </c>
      <c r="I258" t="s">
        <v>560</v>
      </c>
      <c r="J258" t="s">
        <v>1035</v>
      </c>
      <c r="K258" t="s">
        <v>55</v>
      </c>
      <c r="L258" t="s">
        <v>55</v>
      </c>
      <c r="M258" t="s">
        <v>1208</v>
      </c>
    </row>
    <row r="259" spans="1:13" ht="15" customHeight="1" x14ac:dyDescent="0.25">
      <c r="A259" t="s">
        <v>1306</v>
      </c>
      <c r="B259" t="s">
        <v>199</v>
      </c>
      <c r="C259">
        <v>542387</v>
      </c>
      <c r="D259" t="s">
        <v>1209</v>
      </c>
      <c r="E259" t="s">
        <v>1210</v>
      </c>
      <c r="F259" t="s">
        <v>1211</v>
      </c>
      <c r="G259" t="s">
        <v>1212</v>
      </c>
      <c r="H259" t="s">
        <v>757</v>
      </c>
      <c r="I259" t="s">
        <v>560</v>
      </c>
      <c r="J259" t="s">
        <v>603</v>
      </c>
      <c r="K259" t="s">
        <v>55</v>
      </c>
      <c r="L259" t="s">
        <v>55</v>
      </c>
      <c r="M259" t="s">
        <v>765</v>
      </c>
    </row>
    <row r="260" spans="1:13" ht="15" customHeight="1" x14ac:dyDescent="0.25">
      <c r="A260" t="s">
        <v>1306</v>
      </c>
      <c r="B260" t="s">
        <v>199</v>
      </c>
      <c r="C260">
        <v>542299</v>
      </c>
      <c r="D260" t="s">
        <v>1213</v>
      </c>
      <c r="E260" t="s">
        <v>1214</v>
      </c>
      <c r="F260" t="s">
        <v>1215</v>
      </c>
      <c r="G260" t="s">
        <v>1216</v>
      </c>
      <c r="H260" t="s">
        <v>889</v>
      </c>
      <c r="I260" t="s">
        <v>560</v>
      </c>
      <c r="J260" t="s">
        <v>603</v>
      </c>
      <c r="K260" t="s">
        <v>55</v>
      </c>
      <c r="L260" t="s">
        <v>55</v>
      </c>
      <c r="M260" t="s">
        <v>884</v>
      </c>
    </row>
    <row r="261" spans="1:13" ht="15" customHeight="1" x14ac:dyDescent="0.25">
      <c r="A261" t="s">
        <v>1306</v>
      </c>
      <c r="B261" t="s">
        <v>199</v>
      </c>
      <c r="C261">
        <v>542369</v>
      </c>
      <c r="D261" t="s">
        <v>1217</v>
      </c>
      <c r="E261" t="s">
        <v>914</v>
      </c>
      <c r="F261" t="s">
        <v>1218</v>
      </c>
      <c r="G261" t="s">
        <v>1219</v>
      </c>
      <c r="H261" t="s">
        <v>1199</v>
      </c>
      <c r="I261" t="s">
        <v>560</v>
      </c>
      <c r="J261" t="s">
        <v>1220</v>
      </c>
      <c r="K261" t="s">
        <v>55</v>
      </c>
      <c r="L261" t="s">
        <v>55</v>
      </c>
      <c r="M261" t="s">
        <v>815</v>
      </c>
    </row>
    <row r="262" spans="1:13" ht="15" customHeight="1" x14ac:dyDescent="0.25">
      <c r="A262" t="s">
        <v>1306</v>
      </c>
      <c r="B262" t="s">
        <v>199</v>
      </c>
      <c r="C262">
        <v>542384</v>
      </c>
      <c r="D262" t="s">
        <v>1221</v>
      </c>
      <c r="E262" t="s">
        <v>1222</v>
      </c>
      <c r="F262" t="s">
        <v>1223</v>
      </c>
      <c r="G262" t="s">
        <v>1224</v>
      </c>
      <c r="H262" t="s">
        <v>576</v>
      </c>
      <c r="I262" t="s">
        <v>560</v>
      </c>
      <c r="J262" t="s">
        <v>770</v>
      </c>
      <c r="K262" t="s">
        <v>55</v>
      </c>
      <c r="L262" t="s">
        <v>55</v>
      </c>
      <c r="M262" t="s">
        <v>1225</v>
      </c>
    </row>
    <row r="263" spans="1:13" ht="15" customHeight="1" x14ac:dyDescent="0.25">
      <c r="A263" t="s">
        <v>1306</v>
      </c>
      <c r="B263" t="s">
        <v>199</v>
      </c>
      <c r="C263">
        <v>542378</v>
      </c>
      <c r="D263" t="s">
        <v>1226</v>
      </c>
      <c r="E263" t="s">
        <v>732</v>
      </c>
      <c r="F263" t="s">
        <v>1227</v>
      </c>
      <c r="G263" t="s">
        <v>1228</v>
      </c>
      <c r="H263" t="s">
        <v>576</v>
      </c>
      <c r="I263" t="s">
        <v>560</v>
      </c>
      <c r="J263" t="s">
        <v>620</v>
      </c>
      <c r="K263" t="s">
        <v>55</v>
      </c>
      <c r="L263" t="s">
        <v>55</v>
      </c>
      <c r="M263" t="s">
        <v>1147</v>
      </c>
    </row>
    <row r="264" spans="1:13" ht="15" customHeight="1" x14ac:dyDescent="0.25">
      <c r="A264" t="s">
        <v>1306</v>
      </c>
      <c r="B264" t="s">
        <v>199</v>
      </c>
      <c r="C264">
        <v>542386</v>
      </c>
      <c r="D264" t="s">
        <v>1229</v>
      </c>
      <c r="E264" t="s">
        <v>1230</v>
      </c>
      <c r="F264" t="s">
        <v>1231</v>
      </c>
      <c r="G264" t="s">
        <v>1232</v>
      </c>
      <c r="H264" t="s">
        <v>757</v>
      </c>
      <c r="I264" t="s">
        <v>560</v>
      </c>
      <c r="J264" t="s">
        <v>660</v>
      </c>
      <c r="K264" t="s">
        <v>55</v>
      </c>
      <c r="L264" t="s">
        <v>55</v>
      </c>
      <c r="M264" t="s">
        <v>787</v>
      </c>
    </row>
    <row r="265" spans="1:13" ht="15" customHeight="1" x14ac:dyDescent="0.25">
      <c r="A265" t="s">
        <v>1306</v>
      </c>
      <c r="B265" t="s">
        <v>199</v>
      </c>
      <c r="C265">
        <v>542489</v>
      </c>
      <c r="D265" t="s">
        <v>1233</v>
      </c>
      <c r="E265" t="s">
        <v>1234</v>
      </c>
      <c r="F265" t="s">
        <v>1235</v>
      </c>
      <c r="G265" t="s">
        <v>1236</v>
      </c>
      <c r="H265" t="s">
        <v>792</v>
      </c>
      <c r="I265" t="s">
        <v>560</v>
      </c>
      <c r="J265" t="s">
        <v>615</v>
      </c>
      <c r="K265" t="s">
        <v>55</v>
      </c>
      <c r="L265" t="s">
        <v>55</v>
      </c>
      <c r="M265" t="s">
        <v>1237</v>
      </c>
    </row>
    <row r="266" spans="1:13" ht="15" customHeight="1" x14ac:dyDescent="0.25">
      <c r="A266" t="s">
        <v>1306</v>
      </c>
      <c r="B266" t="s">
        <v>199</v>
      </c>
      <c r="C266">
        <v>542317</v>
      </c>
      <c r="D266" t="s">
        <v>1238</v>
      </c>
      <c r="E266" t="s">
        <v>1239</v>
      </c>
      <c r="F266" t="s">
        <v>1240</v>
      </c>
      <c r="G266" t="s">
        <v>1241</v>
      </c>
      <c r="H266" t="s">
        <v>757</v>
      </c>
      <c r="I266" t="s">
        <v>560</v>
      </c>
      <c r="J266" t="s">
        <v>1242</v>
      </c>
      <c r="K266" t="s">
        <v>55</v>
      </c>
      <c r="L266" t="s">
        <v>55</v>
      </c>
      <c r="M266" t="s">
        <v>787</v>
      </c>
    </row>
    <row r="267" spans="1:13" ht="15" customHeight="1" x14ac:dyDescent="0.25">
      <c r="A267" t="s">
        <v>1306</v>
      </c>
      <c r="B267" t="s">
        <v>199</v>
      </c>
      <c r="C267">
        <v>542469</v>
      </c>
      <c r="D267" t="s">
        <v>1243</v>
      </c>
      <c r="E267" t="s">
        <v>1244</v>
      </c>
      <c r="F267" t="s">
        <v>1245</v>
      </c>
      <c r="G267" t="s">
        <v>1246</v>
      </c>
      <c r="H267" t="s">
        <v>563</v>
      </c>
      <c r="I267" t="s">
        <v>560</v>
      </c>
      <c r="J267" t="s">
        <v>603</v>
      </c>
      <c r="K267" t="s">
        <v>55</v>
      </c>
      <c r="L267" t="s">
        <v>55</v>
      </c>
      <c r="M267" t="s">
        <v>884</v>
      </c>
    </row>
    <row r="268" spans="1:13" ht="15" customHeight="1" x14ac:dyDescent="0.25">
      <c r="A268" t="s">
        <v>1306</v>
      </c>
      <c r="B268" t="s">
        <v>199</v>
      </c>
      <c r="C268">
        <v>542245</v>
      </c>
      <c r="D268" t="s">
        <v>1247</v>
      </c>
      <c r="E268" t="s">
        <v>1248</v>
      </c>
      <c r="F268" t="s">
        <v>1249</v>
      </c>
      <c r="G268" t="s">
        <v>1250</v>
      </c>
      <c r="H268" t="s">
        <v>744</v>
      </c>
      <c r="I268" t="s">
        <v>560</v>
      </c>
      <c r="J268" t="s">
        <v>615</v>
      </c>
      <c r="K268" t="s">
        <v>55</v>
      </c>
      <c r="L268" t="s">
        <v>55</v>
      </c>
      <c r="M268" t="s">
        <v>827</v>
      </c>
    </row>
    <row r="269" spans="1:13" ht="15" customHeight="1" x14ac:dyDescent="0.25">
      <c r="A269" t="s">
        <v>1306</v>
      </c>
      <c r="B269" t="s">
        <v>199</v>
      </c>
      <c r="C269">
        <v>542372</v>
      </c>
      <c r="D269" t="s">
        <v>1251</v>
      </c>
      <c r="E269" t="s">
        <v>1252</v>
      </c>
      <c r="F269" t="s">
        <v>1253</v>
      </c>
      <c r="G269" t="s">
        <v>1254</v>
      </c>
      <c r="H269" t="s">
        <v>576</v>
      </c>
      <c r="I269" t="s">
        <v>560</v>
      </c>
      <c r="J269" t="s">
        <v>615</v>
      </c>
      <c r="K269" t="s">
        <v>55</v>
      </c>
      <c r="L269" t="s">
        <v>55</v>
      </c>
      <c r="M269" t="s">
        <v>787</v>
      </c>
    </row>
    <row r="270" spans="1:13" ht="15" customHeight="1" x14ac:dyDescent="0.25">
      <c r="A270" t="s">
        <v>1306</v>
      </c>
      <c r="B270" t="s">
        <v>199</v>
      </c>
      <c r="C270">
        <v>542321</v>
      </c>
      <c r="D270" t="s">
        <v>1255</v>
      </c>
      <c r="E270" t="s">
        <v>1256</v>
      </c>
      <c r="F270" t="s">
        <v>1257</v>
      </c>
      <c r="G270" t="s">
        <v>1258</v>
      </c>
      <c r="H270" t="s">
        <v>792</v>
      </c>
      <c r="I270" t="s">
        <v>560</v>
      </c>
      <c r="J270" t="s">
        <v>631</v>
      </c>
      <c r="K270" t="s">
        <v>55</v>
      </c>
      <c r="L270" t="s">
        <v>55</v>
      </c>
      <c r="M270" t="s">
        <v>752</v>
      </c>
    </row>
    <row r="271" spans="1:13" ht="15" customHeight="1" x14ac:dyDescent="0.25">
      <c r="A271" t="s">
        <v>1306</v>
      </c>
      <c r="B271" t="s">
        <v>199</v>
      </c>
      <c r="C271">
        <v>542379</v>
      </c>
      <c r="D271" t="s">
        <v>1259</v>
      </c>
      <c r="E271" t="s">
        <v>1260</v>
      </c>
      <c r="F271" t="s">
        <v>1261</v>
      </c>
      <c r="G271" t="s">
        <v>1262</v>
      </c>
      <c r="H271" t="s">
        <v>776</v>
      </c>
      <c r="I271" t="s">
        <v>560</v>
      </c>
      <c r="J271" t="s">
        <v>1263</v>
      </c>
      <c r="K271" t="s">
        <v>55</v>
      </c>
      <c r="L271" t="s">
        <v>55</v>
      </c>
      <c r="M271" t="s">
        <v>752</v>
      </c>
    </row>
    <row r="272" spans="1:13" ht="15" customHeight="1" x14ac:dyDescent="0.25">
      <c r="A272" t="s">
        <v>1306</v>
      </c>
      <c r="B272" t="s">
        <v>199</v>
      </c>
      <c r="C272">
        <v>542328</v>
      </c>
      <c r="D272" t="s">
        <v>1264</v>
      </c>
      <c r="E272" t="s">
        <v>1265</v>
      </c>
      <c r="F272" t="s">
        <v>1266</v>
      </c>
      <c r="G272" t="s">
        <v>1267</v>
      </c>
      <c r="H272" t="s">
        <v>1050</v>
      </c>
      <c r="I272" t="s">
        <v>560</v>
      </c>
      <c r="J272" t="s">
        <v>922</v>
      </c>
      <c r="K272" t="s">
        <v>55</v>
      </c>
      <c r="L272" t="s">
        <v>55</v>
      </c>
      <c r="M272" t="s">
        <v>752</v>
      </c>
    </row>
    <row r="273" spans="1:13" ht="15" customHeight="1" x14ac:dyDescent="0.25">
      <c r="A273" t="s">
        <v>1306</v>
      </c>
      <c r="B273" t="s">
        <v>199</v>
      </c>
      <c r="C273">
        <v>542234</v>
      </c>
      <c r="D273" t="s">
        <v>1268</v>
      </c>
      <c r="E273" t="s">
        <v>1269</v>
      </c>
      <c r="F273" t="s">
        <v>1270</v>
      </c>
      <c r="G273" t="s">
        <v>1271</v>
      </c>
      <c r="H273" t="s">
        <v>558</v>
      </c>
      <c r="I273" t="s">
        <v>560</v>
      </c>
      <c r="J273" t="s">
        <v>1272</v>
      </c>
      <c r="K273" t="s">
        <v>55</v>
      </c>
      <c r="L273" t="s">
        <v>55</v>
      </c>
      <c r="M273" t="s">
        <v>1273</v>
      </c>
    </row>
    <row r="274" spans="1:13" ht="15" customHeight="1" x14ac:dyDescent="0.25">
      <c r="A274" t="s">
        <v>1306</v>
      </c>
      <c r="B274" t="s">
        <v>199</v>
      </c>
      <c r="C274">
        <v>542292</v>
      </c>
      <c r="D274" t="s">
        <v>1274</v>
      </c>
      <c r="E274" t="s">
        <v>1275</v>
      </c>
      <c r="F274" t="s">
        <v>1276</v>
      </c>
      <c r="G274" t="s">
        <v>1277</v>
      </c>
      <c r="H274" t="s">
        <v>1278</v>
      </c>
      <c r="I274" t="s">
        <v>560</v>
      </c>
      <c r="J274" t="s">
        <v>615</v>
      </c>
      <c r="K274" t="s">
        <v>55</v>
      </c>
      <c r="L274" t="s">
        <v>55</v>
      </c>
      <c r="M274" t="s">
        <v>1279</v>
      </c>
    </row>
    <row r="275" spans="1:13" ht="15" customHeight="1" x14ac:dyDescent="0.25">
      <c r="A275" t="s">
        <v>1306</v>
      </c>
      <c r="B275" t="s">
        <v>199</v>
      </c>
      <c r="C275">
        <v>542228</v>
      </c>
      <c r="D275" t="s">
        <v>1280</v>
      </c>
      <c r="E275" t="s">
        <v>1281</v>
      </c>
      <c r="F275" t="s">
        <v>1282</v>
      </c>
      <c r="G275" t="s">
        <v>1283</v>
      </c>
      <c r="H275" t="s">
        <v>792</v>
      </c>
      <c r="I275" t="s">
        <v>560</v>
      </c>
      <c r="J275" t="s">
        <v>620</v>
      </c>
      <c r="K275" t="s">
        <v>55</v>
      </c>
      <c r="L275" t="s">
        <v>55</v>
      </c>
      <c r="M275" t="s">
        <v>827</v>
      </c>
    </row>
    <row r="276" spans="1:13" ht="15" customHeight="1" x14ac:dyDescent="0.25">
      <c r="A276" t="s">
        <v>1306</v>
      </c>
      <c r="B276" t="s">
        <v>199</v>
      </c>
      <c r="C276">
        <v>542391</v>
      </c>
      <c r="D276" t="s">
        <v>1284</v>
      </c>
      <c r="E276" t="s">
        <v>881</v>
      </c>
      <c r="F276" t="s">
        <v>1285</v>
      </c>
      <c r="G276" t="s">
        <v>1286</v>
      </c>
      <c r="H276" t="s">
        <v>757</v>
      </c>
      <c r="I276" t="s">
        <v>560</v>
      </c>
      <c r="J276" t="s">
        <v>1287</v>
      </c>
      <c r="K276" t="s">
        <v>55</v>
      </c>
      <c r="L276" t="s">
        <v>55</v>
      </c>
      <c r="M276" t="s">
        <v>884</v>
      </c>
    </row>
    <row r="277" spans="1:13" ht="15" customHeight="1" x14ac:dyDescent="0.25">
      <c r="A277" t="s">
        <v>1306</v>
      </c>
      <c r="B277" t="s">
        <v>199</v>
      </c>
      <c r="C277">
        <v>542210</v>
      </c>
      <c r="D277" t="s">
        <v>1288</v>
      </c>
      <c r="E277" t="s">
        <v>1289</v>
      </c>
      <c r="F277" t="s">
        <v>1290</v>
      </c>
      <c r="G277" t="s">
        <v>1291</v>
      </c>
      <c r="H277" t="s">
        <v>803</v>
      </c>
      <c r="I277" t="s">
        <v>560</v>
      </c>
      <c r="J277" t="s">
        <v>927</v>
      </c>
      <c r="K277" t="s">
        <v>55</v>
      </c>
      <c r="L277" t="s">
        <v>55</v>
      </c>
      <c r="M277" t="s">
        <v>912</v>
      </c>
    </row>
    <row r="278" spans="1:13" ht="15" customHeight="1" x14ac:dyDescent="0.25">
      <c r="A278" t="s">
        <v>1306</v>
      </c>
      <c r="B278" t="s">
        <v>199</v>
      </c>
      <c r="C278">
        <v>542324</v>
      </c>
      <c r="D278" t="s">
        <v>1292</v>
      </c>
      <c r="E278" t="s">
        <v>1293</v>
      </c>
      <c r="F278" t="s">
        <v>1294</v>
      </c>
      <c r="G278" t="s">
        <v>1295</v>
      </c>
      <c r="H278" t="s">
        <v>567</v>
      </c>
      <c r="I278" t="s">
        <v>560</v>
      </c>
      <c r="J278" t="s">
        <v>850</v>
      </c>
      <c r="K278" t="s">
        <v>55</v>
      </c>
      <c r="L278" t="s">
        <v>55</v>
      </c>
      <c r="M278" t="s">
        <v>804</v>
      </c>
    </row>
    <row r="279" spans="1:13" ht="15" customHeight="1" x14ac:dyDescent="0.25">
      <c r="A279" t="s">
        <v>1306</v>
      </c>
      <c r="B279" t="s">
        <v>199</v>
      </c>
      <c r="C279">
        <v>542355</v>
      </c>
      <c r="D279" t="s">
        <v>1296</v>
      </c>
      <c r="E279" t="s">
        <v>1297</v>
      </c>
      <c r="F279" t="s">
        <v>1298</v>
      </c>
      <c r="G279" t="s">
        <v>1299</v>
      </c>
      <c r="H279" t="s">
        <v>911</v>
      </c>
      <c r="I279" t="s">
        <v>560</v>
      </c>
      <c r="J279" t="s">
        <v>609</v>
      </c>
      <c r="K279" t="s">
        <v>55</v>
      </c>
      <c r="L279" t="s">
        <v>55</v>
      </c>
      <c r="M279" t="s">
        <v>1300</v>
      </c>
    </row>
    <row r="280" spans="1:13" ht="15" customHeight="1" x14ac:dyDescent="0.25">
      <c r="A280" t="s">
        <v>1306</v>
      </c>
      <c r="B280" t="s">
        <v>199</v>
      </c>
      <c r="C280">
        <v>542243</v>
      </c>
      <c r="D280" t="s">
        <v>1301</v>
      </c>
      <c r="E280" t="s">
        <v>1302</v>
      </c>
      <c r="F280" t="s">
        <v>1303</v>
      </c>
      <c r="G280" t="s">
        <v>1304</v>
      </c>
      <c r="H280" t="s">
        <v>558</v>
      </c>
      <c r="I280" t="s">
        <v>560</v>
      </c>
      <c r="J280" t="s">
        <v>1305</v>
      </c>
      <c r="K280" t="s">
        <v>55</v>
      </c>
      <c r="L280" t="s">
        <v>55</v>
      </c>
      <c r="M280" t="s">
        <v>964</v>
      </c>
    </row>
    <row r="281" spans="1:13" ht="15" customHeight="1" x14ac:dyDescent="0.25">
      <c r="A281" t="s">
        <v>1308</v>
      </c>
      <c r="B281" t="s">
        <v>199</v>
      </c>
      <c r="C281">
        <v>542382</v>
      </c>
      <c r="D281" t="s">
        <v>740</v>
      </c>
      <c r="E281" t="s">
        <v>741</v>
      </c>
      <c r="F281" t="s">
        <v>742</v>
      </c>
      <c r="G281" t="s">
        <v>743</v>
      </c>
      <c r="H281" t="s">
        <v>744</v>
      </c>
      <c r="I281" t="s">
        <v>560</v>
      </c>
      <c r="J281" t="s">
        <v>660</v>
      </c>
      <c r="K281" t="s">
        <v>55</v>
      </c>
      <c r="L281" t="s">
        <v>55</v>
      </c>
      <c r="M281" t="s">
        <v>745</v>
      </c>
    </row>
    <row r="282" spans="1:13" ht="15" customHeight="1" x14ac:dyDescent="0.25">
      <c r="A282" t="s">
        <v>1308</v>
      </c>
      <c r="B282" t="s">
        <v>199</v>
      </c>
      <c r="C282">
        <v>543650</v>
      </c>
      <c r="D282" t="s">
        <v>746</v>
      </c>
      <c r="E282" t="s">
        <v>747</v>
      </c>
      <c r="F282" t="s">
        <v>748</v>
      </c>
      <c r="G282" t="s">
        <v>749</v>
      </c>
      <c r="H282" t="s">
        <v>750</v>
      </c>
      <c r="I282" t="s">
        <v>560</v>
      </c>
      <c r="J282" t="s">
        <v>751</v>
      </c>
      <c r="K282" t="s">
        <v>55</v>
      </c>
      <c r="L282" t="s">
        <v>55</v>
      </c>
      <c r="M282" t="s">
        <v>752</v>
      </c>
    </row>
    <row r="283" spans="1:13" ht="15" customHeight="1" x14ac:dyDescent="0.25">
      <c r="A283" t="s">
        <v>1308</v>
      </c>
      <c r="B283" t="s">
        <v>199</v>
      </c>
      <c r="C283">
        <v>542246</v>
      </c>
      <c r="D283" t="s">
        <v>753</v>
      </c>
      <c r="E283" t="s">
        <v>754</v>
      </c>
      <c r="F283" t="s">
        <v>755</v>
      </c>
      <c r="G283" t="s">
        <v>756</v>
      </c>
      <c r="H283" t="s">
        <v>757</v>
      </c>
      <c r="I283" t="s">
        <v>560</v>
      </c>
      <c r="J283" t="s">
        <v>626</v>
      </c>
      <c r="K283" t="s">
        <v>55</v>
      </c>
      <c r="L283" t="s">
        <v>55</v>
      </c>
      <c r="M283" t="s">
        <v>758</v>
      </c>
    </row>
    <row r="284" spans="1:13" ht="15" customHeight="1" x14ac:dyDescent="0.25">
      <c r="A284" t="s">
        <v>1308</v>
      </c>
      <c r="B284" t="s">
        <v>199</v>
      </c>
      <c r="C284">
        <v>542365</v>
      </c>
      <c r="D284" t="s">
        <v>759</v>
      </c>
      <c r="E284" t="s">
        <v>760</v>
      </c>
      <c r="F284" t="s">
        <v>761</v>
      </c>
      <c r="G284" t="s">
        <v>762</v>
      </c>
      <c r="H284" t="s">
        <v>763</v>
      </c>
      <c r="I284" t="s">
        <v>560</v>
      </c>
      <c r="J284" t="s">
        <v>764</v>
      </c>
      <c r="K284" t="s">
        <v>55</v>
      </c>
      <c r="L284" t="s">
        <v>55</v>
      </c>
      <c r="M284" t="s">
        <v>765</v>
      </c>
    </row>
    <row r="285" spans="1:13" ht="15" customHeight="1" x14ac:dyDescent="0.25">
      <c r="A285" t="s">
        <v>1308</v>
      </c>
      <c r="B285" t="s">
        <v>199</v>
      </c>
      <c r="C285">
        <v>542235</v>
      </c>
      <c r="D285" t="s">
        <v>766</v>
      </c>
      <c r="E285" t="s">
        <v>767</v>
      </c>
      <c r="F285" t="s">
        <v>768</v>
      </c>
      <c r="G285" t="s">
        <v>769</v>
      </c>
      <c r="H285" t="s">
        <v>558</v>
      </c>
      <c r="I285" t="s">
        <v>560</v>
      </c>
      <c r="J285" t="s">
        <v>770</v>
      </c>
      <c r="K285" t="s">
        <v>55</v>
      </c>
      <c r="L285" t="s">
        <v>55</v>
      </c>
      <c r="M285" t="s">
        <v>771</v>
      </c>
    </row>
    <row r="286" spans="1:13" ht="15" customHeight="1" x14ac:dyDescent="0.25">
      <c r="A286" t="s">
        <v>1308</v>
      </c>
      <c r="B286" t="s">
        <v>199</v>
      </c>
      <c r="C286">
        <v>542300</v>
      </c>
      <c r="D286" t="s">
        <v>772</v>
      </c>
      <c r="E286" t="s">
        <v>773</v>
      </c>
      <c r="F286" t="s">
        <v>774</v>
      </c>
      <c r="G286" t="s">
        <v>775</v>
      </c>
      <c r="H286" t="s">
        <v>776</v>
      </c>
      <c r="I286" t="s">
        <v>560</v>
      </c>
      <c r="J286" t="s">
        <v>777</v>
      </c>
      <c r="K286" t="s">
        <v>55</v>
      </c>
      <c r="L286" t="s">
        <v>55</v>
      </c>
      <c r="M286" t="s">
        <v>778</v>
      </c>
    </row>
    <row r="287" spans="1:13" ht="15" customHeight="1" x14ac:dyDescent="0.25">
      <c r="A287" t="s">
        <v>1308</v>
      </c>
      <c r="B287" t="s">
        <v>199</v>
      </c>
      <c r="C287">
        <v>542316</v>
      </c>
      <c r="D287" t="s">
        <v>779</v>
      </c>
      <c r="E287" t="s">
        <v>780</v>
      </c>
      <c r="F287" t="s">
        <v>781</v>
      </c>
      <c r="G287" t="s">
        <v>782</v>
      </c>
      <c r="H287" t="s">
        <v>576</v>
      </c>
      <c r="I287" t="s">
        <v>560</v>
      </c>
      <c r="J287" t="s">
        <v>615</v>
      </c>
      <c r="K287" t="s">
        <v>55</v>
      </c>
      <c r="L287" t="s">
        <v>55</v>
      </c>
      <c r="M287" t="s">
        <v>778</v>
      </c>
    </row>
    <row r="288" spans="1:13" ht="15" customHeight="1" x14ac:dyDescent="0.25">
      <c r="A288" t="s">
        <v>1308</v>
      </c>
      <c r="B288" t="s">
        <v>199</v>
      </c>
      <c r="C288">
        <v>542396</v>
      </c>
      <c r="D288" t="s">
        <v>783</v>
      </c>
      <c r="E288" t="s">
        <v>784</v>
      </c>
      <c r="F288" t="s">
        <v>785</v>
      </c>
      <c r="G288" t="s">
        <v>786</v>
      </c>
      <c r="H288" t="s">
        <v>757</v>
      </c>
      <c r="I288" t="s">
        <v>560</v>
      </c>
      <c r="J288" t="s">
        <v>615</v>
      </c>
      <c r="K288" t="s">
        <v>55</v>
      </c>
      <c r="L288" t="s">
        <v>55</v>
      </c>
      <c r="M288" t="s">
        <v>787</v>
      </c>
    </row>
    <row r="289" spans="1:13" ht="15" customHeight="1" x14ac:dyDescent="0.25">
      <c r="A289" t="s">
        <v>1308</v>
      </c>
      <c r="B289" t="s">
        <v>199</v>
      </c>
      <c r="C289">
        <v>542374</v>
      </c>
      <c r="D289" t="s">
        <v>788</v>
      </c>
      <c r="E289" t="s">
        <v>789</v>
      </c>
      <c r="F289" t="s">
        <v>790</v>
      </c>
      <c r="G289" t="s">
        <v>791</v>
      </c>
      <c r="H289" t="s">
        <v>792</v>
      </c>
      <c r="I289" t="s">
        <v>560</v>
      </c>
      <c r="J289" t="s">
        <v>689</v>
      </c>
      <c r="K289" t="s">
        <v>55</v>
      </c>
      <c r="L289" t="s">
        <v>55</v>
      </c>
      <c r="M289" t="s">
        <v>765</v>
      </c>
    </row>
    <row r="290" spans="1:13" ht="15" customHeight="1" x14ac:dyDescent="0.25">
      <c r="A290" t="s">
        <v>1308</v>
      </c>
      <c r="B290" t="s">
        <v>199</v>
      </c>
      <c r="C290">
        <v>543049</v>
      </c>
      <c r="D290" t="s">
        <v>793</v>
      </c>
      <c r="E290" t="s">
        <v>794</v>
      </c>
      <c r="F290" t="s">
        <v>795</v>
      </c>
      <c r="G290" t="s">
        <v>796</v>
      </c>
      <c r="H290" t="s">
        <v>757</v>
      </c>
      <c r="I290" t="s">
        <v>560</v>
      </c>
      <c r="J290" t="s">
        <v>797</v>
      </c>
      <c r="K290" t="s">
        <v>55</v>
      </c>
      <c r="L290" t="s">
        <v>55</v>
      </c>
      <c r="M290" t="s">
        <v>798</v>
      </c>
    </row>
    <row r="291" spans="1:13" ht="15" customHeight="1" x14ac:dyDescent="0.25">
      <c r="A291" t="s">
        <v>1308</v>
      </c>
      <c r="B291" t="s">
        <v>199</v>
      </c>
      <c r="C291">
        <v>542312</v>
      </c>
      <c r="D291" t="s">
        <v>799</v>
      </c>
      <c r="E291" t="s">
        <v>800</v>
      </c>
      <c r="F291" t="s">
        <v>801</v>
      </c>
      <c r="G291" t="s">
        <v>802</v>
      </c>
      <c r="H291" t="s">
        <v>803</v>
      </c>
      <c r="I291" t="s">
        <v>560</v>
      </c>
      <c r="J291" t="s">
        <v>596</v>
      </c>
      <c r="K291" t="s">
        <v>55</v>
      </c>
      <c r="L291" t="s">
        <v>55</v>
      </c>
      <c r="M291" t="s">
        <v>804</v>
      </c>
    </row>
    <row r="292" spans="1:13" ht="15" customHeight="1" x14ac:dyDescent="0.25">
      <c r="A292" t="s">
        <v>1308</v>
      </c>
      <c r="B292" t="s">
        <v>199</v>
      </c>
      <c r="C292">
        <v>542392</v>
      </c>
      <c r="D292" t="s">
        <v>805</v>
      </c>
      <c r="E292" t="s">
        <v>806</v>
      </c>
      <c r="F292" t="s">
        <v>807</v>
      </c>
      <c r="G292" t="s">
        <v>808</v>
      </c>
      <c r="H292" t="s">
        <v>757</v>
      </c>
      <c r="I292" t="s">
        <v>560</v>
      </c>
      <c r="J292" t="s">
        <v>809</v>
      </c>
      <c r="K292" t="s">
        <v>55</v>
      </c>
      <c r="L292" t="s">
        <v>55</v>
      </c>
      <c r="M292" t="s">
        <v>810</v>
      </c>
    </row>
    <row r="293" spans="1:13" ht="15" customHeight="1" x14ac:dyDescent="0.25">
      <c r="A293" t="s">
        <v>1308</v>
      </c>
      <c r="B293" t="s">
        <v>199</v>
      </c>
      <c r="C293">
        <v>542322</v>
      </c>
      <c r="D293" t="s">
        <v>811</v>
      </c>
      <c r="E293" t="s">
        <v>812</v>
      </c>
      <c r="F293" t="s">
        <v>813</v>
      </c>
      <c r="G293" t="s">
        <v>814</v>
      </c>
      <c r="H293" t="s">
        <v>558</v>
      </c>
      <c r="I293" t="s">
        <v>560</v>
      </c>
      <c r="J293" t="s">
        <v>615</v>
      </c>
      <c r="K293" t="s">
        <v>55</v>
      </c>
      <c r="L293" t="s">
        <v>55</v>
      </c>
      <c r="M293" t="s">
        <v>815</v>
      </c>
    </row>
    <row r="294" spans="1:13" ht="15" customHeight="1" x14ac:dyDescent="0.25">
      <c r="A294" t="s">
        <v>1308</v>
      </c>
      <c r="B294" t="s">
        <v>199</v>
      </c>
      <c r="C294">
        <v>542326</v>
      </c>
      <c r="D294" t="s">
        <v>575</v>
      </c>
      <c r="E294" t="s">
        <v>816</v>
      </c>
      <c r="F294" t="s">
        <v>577</v>
      </c>
      <c r="G294" t="s">
        <v>817</v>
      </c>
      <c r="H294" t="s">
        <v>576</v>
      </c>
      <c r="I294" t="s">
        <v>560</v>
      </c>
      <c r="J294" t="s">
        <v>777</v>
      </c>
      <c r="K294" t="s">
        <v>55</v>
      </c>
      <c r="L294" t="s">
        <v>55</v>
      </c>
      <c r="M294" t="s">
        <v>854</v>
      </c>
    </row>
    <row r="295" spans="1:13" ht="15" customHeight="1" x14ac:dyDescent="0.25">
      <c r="A295" t="s">
        <v>1308</v>
      </c>
      <c r="B295" t="s">
        <v>199</v>
      </c>
      <c r="C295">
        <v>542348</v>
      </c>
      <c r="D295" t="s">
        <v>819</v>
      </c>
      <c r="E295" t="s">
        <v>820</v>
      </c>
      <c r="F295" t="s">
        <v>821</v>
      </c>
      <c r="G295" t="s">
        <v>822</v>
      </c>
      <c r="H295" t="s">
        <v>576</v>
      </c>
      <c r="I295" t="s">
        <v>560</v>
      </c>
      <c r="J295" t="s">
        <v>823</v>
      </c>
      <c r="K295" t="s">
        <v>55</v>
      </c>
      <c r="L295" t="s">
        <v>55</v>
      </c>
      <c r="M295" t="s">
        <v>752</v>
      </c>
    </row>
    <row r="296" spans="1:13" ht="15" customHeight="1" x14ac:dyDescent="0.25">
      <c r="A296" t="s">
        <v>1308</v>
      </c>
      <c r="B296" t="s">
        <v>199</v>
      </c>
      <c r="C296">
        <v>542288</v>
      </c>
      <c r="D296" t="s">
        <v>819</v>
      </c>
      <c r="E296" t="s">
        <v>824</v>
      </c>
      <c r="F296" t="s">
        <v>825</v>
      </c>
      <c r="G296" t="s">
        <v>826</v>
      </c>
      <c r="H296" t="s">
        <v>576</v>
      </c>
      <c r="I296" t="s">
        <v>560</v>
      </c>
      <c r="J296" t="s">
        <v>770</v>
      </c>
      <c r="K296" t="s">
        <v>55</v>
      </c>
      <c r="L296" t="s">
        <v>55</v>
      </c>
      <c r="M296" t="s">
        <v>827</v>
      </c>
    </row>
    <row r="297" spans="1:13" ht="15" customHeight="1" x14ac:dyDescent="0.25">
      <c r="A297" t="s">
        <v>1308</v>
      </c>
      <c r="B297" t="s">
        <v>199</v>
      </c>
      <c r="C297">
        <v>542323</v>
      </c>
      <c r="D297" t="s">
        <v>828</v>
      </c>
      <c r="E297" t="s">
        <v>829</v>
      </c>
      <c r="F297" t="s">
        <v>830</v>
      </c>
      <c r="G297" t="s">
        <v>831</v>
      </c>
      <c r="H297" t="s">
        <v>567</v>
      </c>
      <c r="I297" t="s">
        <v>560</v>
      </c>
      <c r="J297" t="s">
        <v>603</v>
      </c>
      <c r="K297" t="s">
        <v>55</v>
      </c>
      <c r="L297" t="s">
        <v>55</v>
      </c>
      <c r="M297" t="s">
        <v>810</v>
      </c>
    </row>
    <row r="298" spans="1:13" ht="15" customHeight="1" x14ac:dyDescent="0.25">
      <c r="A298" t="s">
        <v>1308</v>
      </c>
      <c r="B298" t="s">
        <v>199</v>
      </c>
      <c r="C298">
        <v>542393</v>
      </c>
      <c r="D298" t="s">
        <v>557</v>
      </c>
      <c r="E298" t="s">
        <v>832</v>
      </c>
      <c r="F298" t="s">
        <v>559</v>
      </c>
      <c r="G298" t="s">
        <v>833</v>
      </c>
      <c r="H298" t="s">
        <v>558</v>
      </c>
      <c r="I298" t="s">
        <v>560</v>
      </c>
      <c r="J298" t="s">
        <v>615</v>
      </c>
      <c r="K298" t="s">
        <v>55</v>
      </c>
      <c r="L298" t="s">
        <v>55</v>
      </c>
      <c r="M298" t="s">
        <v>854</v>
      </c>
    </row>
    <row r="299" spans="1:13" ht="15" customHeight="1" x14ac:dyDescent="0.25">
      <c r="A299" t="s">
        <v>1308</v>
      </c>
      <c r="B299" t="s">
        <v>199</v>
      </c>
      <c r="C299">
        <v>542319</v>
      </c>
      <c r="D299" t="s">
        <v>835</v>
      </c>
      <c r="E299" t="s">
        <v>836</v>
      </c>
      <c r="F299" t="s">
        <v>837</v>
      </c>
      <c r="G299" t="s">
        <v>838</v>
      </c>
      <c r="H299" t="s">
        <v>792</v>
      </c>
      <c r="I299" t="s">
        <v>560</v>
      </c>
      <c r="J299" t="s">
        <v>603</v>
      </c>
      <c r="K299" t="s">
        <v>55</v>
      </c>
      <c r="L299" t="s">
        <v>55</v>
      </c>
      <c r="M299" t="s">
        <v>752</v>
      </c>
    </row>
    <row r="300" spans="1:13" ht="15" customHeight="1" x14ac:dyDescent="0.25">
      <c r="A300" t="s">
        <v>1308</v>
      </c>
      <c r="B300" t="s">
        <v>199</v>
      </c>
      <c r="C300">
        <v>542314</v>
      </c>
      <c r="D300" t="s">
        <v>839</v>
      </c>
      <c r="E300" t="s">
        <v>840</v>
      </c>
      <c r="F300" t="s">
        <v>841</v>
      </c>
      <c r="G300" t="s">
        <v>842</v>
      </c>
      <c r="H300" t="s">
        <v>757</v>
      </c>
      <c r="I300" t="s">
        <v>560</v>
      </c>
      <c r="J300" t="s">
        <v>843</v>
      </c>
      <c r="K300" t="s">
        <v>55</v>
      </c>
      <c r="L300" t="s">
        <v>55</v>
      </c>
      <c r="M300" t="s">
        <v>844</v>
      </c>
    </row>
    <row r="301" spans="1:13" ht="15" customHeight="1" x14ac:dyDescent="0.25">
      <c r="A301" t="s">
        <v>1308</v>
      </c>
      <c r="B301" t="s">
        <v>199</v>
      </c>
      <c r="C301">
        <v>542412</v>
      </c>
      <c r="D301" t="s">
        <v>845</v>
      </c>
      <c r="E301" t="s">
        <v>846</v>
      </c>
      <c r="F301" t="s">
        <v>847</v>
      </c>
      <c r="G301" t="s">
        <v>848</v>
      </c>
      <c r="H301" t="s">
        <v>849</v>
      </c>
      <c r="I301" t="s">
        <v>560</v>
      </c>
      <c r="J301" t="s">
        <v>850</v>
      </c>
      <c r="K301" t="s">
        <v>55</v>
      </c>
      <c r="L301" t="s">
        <v>55</v>
      </c>
      <c r="M301" t="s">
        <v>765</v>
      </c>
    </row>
    <row r="302" spans="1:13" ht="15" customHeight="1" x14ac:dyDescent="0.25">
      <c r="A302" t="s">
        <v>1308</v>
      </c>
      <c r="B302" t="s">
        <v>199</v>
      </c>
      <c r="C302">
        <v>542354</v>
      </c>
      <c r="D302" t="s">
        <v>570</v>
      </c>
      <c r="E302" t="s">
        <v>851</v>
      </c>
      <c r="F302" t="s">
        <v>572</v>
      </c>
      <c r="G302" t="s">
        <v>852</v>
      </c>
      <c r="H302" t="s">
        <v>571</v>
      </c>
      <c r="I302" t="s">
        <v>560</v>
      </c>
      <c r="J302" t="s">
        <v>853</v>
      </c>
      <c r="K302" t="s">
        <v>55</v>
      </c>
      <c r="L302" t="s">
        <v>55</v>
      </c>
      <c r="M302" t="s">
        <v>854</v>
      </c>
    </row>
    <row r="303" spans="1:13" ht="15" customHeight="1" x14ac:dyDescent="0.25">
      <c r="A303" t="s">
        <v>1308</v>
      </c>
      <c r="B303" t="s">
        <v>199</v>
      </c>
      <c r="C303">
        <v>542306</v>
      </c>
      <c r="D303" t="s">
        <v>855</v>
      </c>
      <c r="E303" t="s">
        <v>856</v>
      </c>
      <c r="F303" t="s">
        <v>857</v>
      </c>
      <c r="G303" t="s">
        <v>858</v>
      </c>
      <c r="H303" t="s">
        <v>744</v>
      </c>
      <c r="I303" t="s">
        <v>560</v>
      </c>
      <c r="J303" t="s">
        <v>859</v>
      </c>
      <c r="K303" t="s">
        <v>55</v>
      </c>
      <c r="L303" t="s">
        <v>55</v>
      </c>
      <c r="M303" t="s">
        <v>778</v>
      </c>
    </row>
    <row r="304" spans="1:13" ht="15" customHeight="1" x14ac:dyDescent="0.25">
      <c r="A304" t="s">
        <v>1308</v>
      </c>
      <c r="B304" t="s">
        <v>199</v>
      </c>
      <c r="C304">
        <v>542298</v>
      </c>
      <c r="D304" t="s">
        <v>860</v>
      </c>
      <c r="E304" t="s">
        <v>861</v>
      </c>
      <c r="F304" t="s">
        <v>862</v>
      </c>
      <c r="G304" t="s">
        <v>863</v>
      </c>
      <c r="H304" t="s">
        <v>576</v>
      </c>
      <c r="I304" t="s">
        <v>560</v>
      </c>
      <c r="J304" t="s">
        <v>603</v>
      </c>
      <c r="K304" t="s">
        <v>55</v>
      </c>
      <c r="L304" t="s">
        <v>55</v>
      </c>
      <c r="M304" t="s">
        <v>864</v>
      </c>
    </row>
    <row r="305" spans="1:13" ht="15" customHeight="1" x14ac:dyDescent="0.25">
      <c r="A305" t="s">
        <v>1308</v>
      </c>
      <c r="B305" t="s">
        <v>199</v>
      </c>
      <c r="C305">
        <v>542376</v>
      </c>
      <c r="D305" t="s">
        <v>865</v>
      </c>
      <c r="E305" t="s">
        <v>832</v>
      </c>
      <c r="F305" t="s">
        <v>866</v>
      </c>
      <c r="G305" t="s">
        <v>867</v>
      </c>
      <c r="H305" t="s">
        <v>792</v>
      </c>
      <c r="I305" t="s">
        <v>560</v>
      </c>
      <c r="J305" t="s">
        <v>615</v>
      </c>
      <c r="K305" t="s">
        <v>55</v>
      </c>
      <c r="L305" t="s">
        <v>55</v>
      </c>
      <c r="M305" t="s">
        <v>765</v>
      </c>
    </row>
    <row r="306" spans="1:13" ht="15" customHeight="1" x14ac:dyDescent="0.25">
      <c r="A306" t="s">
        <v>1308</v>
      </c>
      <c r="B306" t="s">
        <v>199</v>
      </c>
      <c r="C306">
        <v>542490</v>
      </c>
      <c r="D306" t="s">
        <v>868</v>
      </c>
      <c r="E306" t="s">
        <v>869</v>
      </c>
      <c r="F306" t="s">
        <v>870</v>
      </c>
      <c r="G306" t="s">
        <v>871</v>
      </c>
      <c r="H306" t="s">
        <v>571</v>
      </c>
      <c r="I306" t="s">
        <v>560</v>
      </c>
      <c r="J306" t="s">
        <v>603</v>
      </c>
      <c r="K306" t="s">
        <v>55</v>
      </c>
      <c r="L306" t="s">
        <v>55</v>
      </c>
      <c r="M306" t="s">
        <v>765</v>
      </c>
    </row>
    <row r="307" spans="1:13" ht="15" customHeight="1" x14ac:dyDescent="0.25">
      <c r="A307" t="s">
        <v>1308</v>
      </c>
      <c r="B307" t="s">
        <v>199</v>
      </c>
      <c r="C307">
        <v>542409</v>
      </c>
      <c r="D307" t="s">
        <v>872</v>
      </c>
      <c r="E307" t="s">
        <v>873</v>
      </c>
      <c r="F307" t="s">
        <v>874</v>
      </c>
      <c r="G307" t="s">
        <v>875</v>
      </c>
      <c r="H307" t="s">
        <v>576</v>
      </c>
      <c r="I307" t="s">
        <v>560</v>
      </c>
      <c r="J307" t="s">
        <v>615</v>
      </c>
      <c r="K307" t="s">
        <v>55</v>
      </c>
      <c r="L307" t="s">
        <v>55</v>
      </c>
      <c r="M307" t="s">
        <v>815</v>
      </c>
    </row>
    <row r="308" spans="1:13" ht="15" customHeight="1" x14ac:dyDescent="0.25">
      <c r="A308" t="s">
        <v>1308</v>
      </c>
      <c r="B308" t="s">
        <v>199</v>
      </c>
      <c r="C308">
        <v>542411</v>
      </c>
      <c r="D308" t="s">
        <v>876</v>
      </c>
      <c r="E308" t="s">
        <v>877</v>
      </c>
      <c r="F308" t="s">
        <v>878</v>
      </c>
      <c r="G308" t="s">
        <v>879</v>
      </c>
      <c r="H308" t="s">
        <v>849</v>
      </c>
      <c r="I308" t="s">
        <v>560</v>
      </c>
      <c r="J308" t="s">
        <v>626</v>
      </c>
      <c r="K308" t="s">
        <v>55</v>
      </c>
      <c r="L308" t="s">
        <v>55</v>
      </c>
      <c r="M308" t="s">
        <v>745</v>
      </c>
    </row>
    <row r="309" spans="1:13" ht="15" customHeight="1" x14ac:dyDescent="0.25">
      <c r="A309" t="s">
        <v>1308</v>
      </c>
      <c r="B309" t="s">
        <v>199</v>
      </c>
      <c r="C309">
        <v>542395</v>
      </c>
      <c r="D309" t="s">
        <v>880</v>
      </c>
      <c r="E309" t="s">
        <v>881</v>
      </c>
      <c r="F309" t="s">
        <v>882</v>
      </c>
      <c r="G309" t="s">
        <v>883</v>
      </c>
      <c r="H309" t="s">
        <v>558</v>
      </c>
      <c r="I309" t="s">
        <v>560</v>
      </c>
      <c r="J309" t="s">
        <v>823</v>
      </c>
      <c r="K309" t="s">
        <v>55</v>
      </c>
      <c r="L309" t="s">
        <v>55</v>
      </c>
      <c r="M309" t="s">
        <v>884</v>
      </c>
    </row>
    <row r="310" spans="1:13" ht="15" customHeight="1" x14ac:dyDescent="0.25">
      <c r="A310" t="s">
        <v>1308</v>
      </c>
      <c r="B310" t="s">
        <v>199</v>
      </c>
      <c r="C310">
        <v>542377</v>
      </c>
      <c r="D310" t="s">
        <v>885</v>
      </c>
      <c r="E310" t="s">
        <v>886</v>
      </c>
      <c r="F310" t="s">
        <v>887</v>
      </c>
      <c r="G310" t="s">
        <v>888</v>
      </c>
      <c r="H310" t="s">
        <v>889</v>
      </c>
      <c r="I310" t="s">
        <v>560</v>
      </c>
      <c r="J310" t="s">
        <v>603</v>
      </c>
      <c r="K310" t="s">
        <v>55</v>
      </c>
      <c r="L310" t="s">
        <v>55</v>
      </c>
      <c r="M310" t="s">
        <v>884</v>
      </c>
    </row>
    <row r="311" spans="1:13" ht="15" customHeight="1" x14ac:dyDescent="0.25">
      <c r="A311" t="s">
        <v>1308</v>
      </c>
      <c r="B311" t="s">
        <v>199</v>
      </c>
      <c r="C311">
        <v>542383</v>
      </c>
      <c r="D311" t="s">
        <v>890</v>
      </c>
      <c r="E311" t="s">
        <v>891</v>
      </c>
      <c r="F311" t="s">
        <v>892</v>
      </c>
      <c r="G311" t="s">
        <v>893</v>
      </c>
      <c r="H311" t="s">
        <v>803</v>
      </c>
      <c r="I311" t="s">
        <v>560</v>
      </c>
      <c r="J311" t="s">
        <v>660</v>
      </c>
      <c r="K311" t="s">
        <v>55</v>
      </c>
      <c r="L311" t="s">
        <v>55</v>
      </c>
      <c r="M311" t="s">
        <v>765</v>
      </c>
    </row>
    <row r="312" spans="1:13" ht="15" customHeight="1" x14ac:dyDescent="0.25">
      <c r="A312" t="s">
        <v>1308</v>
      </c>
      <c r="B312" t="s">
        <v>199</v>
      </c>
      <c r="C312">
        <v>542305</v>
      </c>
      <c r="D312" t="s">
        <v>894</v>
      </c>
      <c r="E312" t="s">
        <v>895</v>
      </c>
      <c r="F312" t="s">
        <v>896</v>
      </c>
      <c r="G312" t="s">
        <v>897</v>
      </c>
      <c r="H312" t="s">
        <v>898</v>
      </c>
      <c r="I312" t="s">
        <v>560</v>
      </c>
      <c r="J312" t="s">
        <v>615</v>
      </c>
      <c r="K312" t="s">
        <v>55</v>
      </c>
      <c r="L312" t="s">
        <v>55</v>
      </c>
      <c r="M312" t="s">
        <v>804</v>
      </c>
    </row>
    <row r="313" spans="1:13" ht="15" customHeight="1" x14ac:dyDescent="0.25">
      <c r="A313" t="s">
        <v>1308</v>
      </c>
      <c r="B313" t="s">
        <v>199</v>
      </c>
      <c r="C313">
        <v>542359</v>
      </c>
      <c r="D313" t="s">
        <v>899</v>
      </c>
      <c r="E313" t="s">
        <v>900</v>
      </c>
      <c r="F313" t="s">
        <v>901</v>
      </c>
      <c r="G313" t="s">
        <v>902</v>
      </c>
      <c r="H313" t="s">
        <v>571</v>
      </c>
      <c r="I313" t="s">
        <v>560</v>
      </c>
      <c r="J313" t="s">
        <v>615</v>
      </c>
      <c r="K313" t="s">
        <v>55</v>
      </c>
      <c r="L313" t="s">
        <v>55</v>
      </c>
      <c r="M313" t="s">
        <v>752</v>
      </c>
    </row>
    <row r="314" spans="1:13" ht="15" customHeight="1" x14ac:dyDescent="0.25">
      <c r="A314" t="s">
        <v>1308</v>
      </c>
      <c r="B314" t="s">
        <v>199</v>
      </c>
      <c r="C314">
        <v>542364</v>
      </c>
      <c r="D314" t="s">
        <v>903</v>
      </c>
      <c r="E314" t="s">
        <v>904</v>
      </c>
      <c r="F314" t="s">
        <v>905</v>
      </c>
      <c r="G314" t="s">
        <v>906</v>
      </c>
      <c r="H314" t="s">
        <v>558</v>
      </c>
      <c r="I314" t="s">
        <v>560</v>
      </c>
      <c r="J314" t="s">
        <v>751</v>
      </c>
      <c r="K314" t="s">
        <v>55</v>
      </c>
      <c r="L314" t="s">
        <v>55</v>
      </c>
      <c r="M314" t="s">
        <v>787</v>
      </c>
    </row>
    <row r="315" spans="1:13" ht="15" customHeight="1" x14ac:dyDescent="0.25">
      <c r="A315" t="s">
        <v>1308</v>
      </c>
      <c r="B315" t="s">
        <v>199</v>
      </c>
      <c r="C315">
        <v>543048</v>
      </c>
      <c r="D315" t="s">
        <v>907</v>
      </c>
      <c r="E315" t="s">
        <v>908</v>
      </c>
      <c r="F315" t="s">
        <v>909</v>
      </c>
      <c r="G315" t="s">
        <v>910</v>
      </c>
      <c r="H315" t="s">
        <v>911</v>
      </c>
      <c r="I315" t="s">
        <v>560</v>
      </c>
      <c r="J315" t="s">
        <v>689</v>
      </c>
      <c r="K315" t="s">
        <v>55</v>
      </c>
      <c r="L315" t="s">
        <v>55</v>
      </c>
      <c r="M315" t="s">
        <v>912</v>
      </c>
    </row>
    <row r="316" spans="1:13" ht="15" customHeight="1" x14ac:dyDescent="0.25">
      <c r="A316" t="s">
        <v>1308</v>
      </c>
      <c r="B316" t="s">
        <v>199</v>
      </c>
      <c r="C316">
        <v>542330</v>
      </c>
      <c r="D316" t="s">
        <v>913</v>
      </c>
      <c r="E316" t="s">
        <v>914</v>
      </c>
      <c r="F316" t="s">
        <v>915</v>
      </c>
      <c r="G316" t="s">
        <v>916</v>
      </c>
      <c r="H316" t="s">
        <v>889</v>
      </c>
      <c r="I316" t="s">
        <v>560</v>
      </c>
      <c r="J316" t="s">
        <v>917</v>
      </c>
      <c r="K316" t="s">
        <v>55</v>
      </c>
      <c r="L316" t="s">
        <v>55</v>
      </c>
      <c r="M316" t="s">
        <v>884</v>
      </c>
    </row>
    <row r="317" spans="1:13" ht="15" customHeight="1" x14ac:dyDescent="0.25">
      <c r="A317" t="s">
        <v>1308</v>
      </c>
      <c r="B317" t="s">
        <v>199</v>
      </c>
      <c r="C317">
        <v>542307</v>
      </c>
      <c r="D317" t="s">
        <v>918</v>
      </c>
      <c r="E317" t="s">
        <v>919</v>
      </c>
      <c r="F317" t="s">
        <v>920</v>
      </c>
      <c r="G317" t="s">
        <v>921</v>
      </c>
      <c r="H317" t="s">
        <v>576</v>
      </c>
      <c r="I317" t="s">
        <v>560</v>
      </c>
      <c r="J317" t="s">
        <v>922</v>
      </c>
      <c r="K317" t="s">
        <v>55</v>
      </c>
      <c r="L317" t="s">
        <v>55</v>
      </c>
      <c r="M317" t="s">
        <v>787</v>
      </c>
    </row>
    <row r="318" spans="1:13" ht="15" customHeight="1" x14ac:dyDescent="0.25">
      <c r="A318" t="s">
        <v>1308</v>
      </c>
      <c r="B318" t="s">
        <v>199</v>
      </c>
      <c r="C318">
        <v>542230</v>
      </c>
      <c r="D318" t="s">
        <v>923</v>
      </c>
      <c r="E318" t="s">
        <v>924</v>
      </c>
      <c r="F318" t="s">
        <v>925</v>
      </c>
      <c r="G318" t="s">
        <v>926</v>
      </c>
      <c r="H318" t="s">
        <v>571</v>
      </c>
      <c r="I318" t="s">
        <v>560</v>
      </c>
      <c r="J318" t="s">
        <v>927</v>
      </c>
      <c r="K318" t="s">
        <v>55</v>
      </c>
      <c r="L318" t="s">
        <v>55</v>
      </c>
      <c r="M318" t="s">
        <v>827</v>
      </c>
    </row>
    <row r="319" spans="1:13" ht="15" customHeight="1" x14ac:dyDescent="0.25">
      <c r="A319" t="s">
        <v>1308</v>
      </c>
      <c r="B319" t="s">
        <v>199</v>
      </c>
      <c r="C319">
        <v>542366</v>
      </c>
      <c r="D319" t="s">
        <v>928</v>
      </c>
      <c r="E319" t="s">
        <v>760</v>
      </c>
      <c r="F319" t="s">
        <v>761</v>
      </c>
      <c r="G319" t="s">
        <v>762</v>
      </c>
      <c r="H319" t="s">
        <v>763</v>
      </c>
      <c r="I319" t="s">
        <v>560</v>
      </c>
      <c r="J319" t="s">
        <v>764</v>
      </c>
      <c r="K319" t="s">
        <v>55</v>
      </c>
      <c r="L319" t="s">
        <v>55</v>
      </c>
      <c r="M319" t="s">
        <v>752</v>
      </c>
    </row>
    <row r="320" spans="1:13" ht="15" customHeight="1" x14ac:dyDescent="0.25">
      <c r="A320" t="s">
        <v>1308</v>
      </c>
      <c r="B320" t="s">
        <v>199</v>
      </c>
      <c r="C320">
        <v>542296</v>
      </c>
      <c r="D320" t="s">
        <v>929</v>
      </c>
      <c r="E320" t="s">
        <v>930</v>
      </c>
      <c r="F320" t="s">
        <v>931</v>
      </c>
      <c r="G320" t="s">
        <v>932</v>
      </c>
      <c r="H320" t="s">
        <v>757</v>
      </c>
      <c r="I320" t="s">
        <v>560</v>
      </c>
      <c r="J320" t="s">
        <v>615</v>
      </c>
      <c r="K320" t="s">
        <v>55</v>
      </c>
      <c r="L320" t="s">
        <v>55</v>
      </c>
      <c r="M320" t="s">
        <v>933</v>
      </c>
    </row>
    <row r="321" spans="1:13" ht="15" customHeight="1" x14ac:dyDescent="0.25">
      <c r="A321" t="s">
        <v>1308</v>
      </c>
      <c r="B321" t="s">
        <v>199</v>
      </c>
      <c r="C321">
        <v>542388</v>
      </c>
      <c r="D321" t="s">
        <v>929</v>
      </c>
      <c r="E321" t="s">
        <v>934</v>
      </c>
      <c r="F321" t="s">
        <v>935</v>
      </c>
      <c r="G321" t="s">
        <v>936</v>
      </c>
      <c r="H321" t="s">
        <v>757</v>
      </c>
      <c r="I321" t="s">
        <v>560</v>
      </c>
      <c r="J321" t="s">
        <v>660</v>
      </c>
      <c r="K321" t="s">
        <v>55</v>
      </c>
      <c r="L321" t="s">
        <v>55</v>
      </c>
      <c r="M321" t="s">
        <v>884</v>
      </c>
    </row>
    <row r="322" spans="1:13" ht="15" customHeight="1" x14ac:dyDescent="0.25">
      <c r="A322" t="s">
        <v>1308</v>
      </c>
      <c r="B322" t="s">
        <v>199</v>
      </c>
      <c r="C322">
        <v>542712</v>
      </c>
      <c r="D322" t="s">
        <v>937</v>
      </c>
      <c r="E322" t="s">
        <v>938</v>
      </c>
      <c r="F322" t="s">
        <v>939</v>
      </c>
      <c r="G322" t="s">
        <v>940</v>
      </c>
      <c r="H322" t="s">
        <v>792</v>
      </c>
      <c r="I322" t="s">
        <v>560</v>
      </c>
      <c r="J322" t="s">
        <v>941</v>
      </c>
      <c r="K322" t="s">
        <v>55</v>
      </c>
      <c r="L322" t="s">
        <v>55</v>
      </c>
      <c r="M322" t="s">
        <v>810</v>
      </c>
    </row>
    <row r="323" spans="1:13" ht="15" customHeight="1" x14ac:dyDescent="0.25">
      <c r="A323" t="s">
        <v>1308</v>
      </c>
      <c r="B323" t="s">
        <v>199</v>
      </c>
      <c r="C323">
        <v>543026</v>
      </c>
      <c r="D323" t="s">
        <v>942</v>
      </c>
      <c r="E323" t="s">
        <v>943</v>
      </c>
      <c r="F323" t="s">
        <v>944</v>
      </c>
      <c r="G323" t="s">
        <v>945</v>
      </c>
      <c r="H323" t="s">
        <v>757</v>
      </c>
      <c r="I323" t="s">
        <v>560</v>
      </c>
      <c r="J323" t="s">
        <v>620</v>
      </c>
      <c r="K323" t="s">
        <v>55</v>
      </c>
      <c r="L323" t="s">
        <v>55</v>
      </c>
      <c r="M323" t="s">
        <v>912</v>
      </c>
    </row>
    <row r="324" spans="1:13" ht="15" customHeight="1" x14ac:dyDescent="0.25">
      <c r="A324" t="s">
        <v>1308</v>
      </c>
      <c r="B324" t="s">
        <v>199</v>
      </c>
      <c r="C324">
        <v>542356</v>
      </c>
      <c r="D324" t="s">
        <v>946</v>
      </c>
      <c r="E324" t="s">
        <v>947</v>
      </c>
      <c r="F324" t="s">
        <v>948</v>
      </c>
      <c r="G324" t="s">
        <v>949</v>
      </c>
      <c r="H324" t="s">
        <v>744</v>
      </c>
      <c r="I324" t="s">
        <v>560</v>
      </c>
      <c r="J324" t="s">
        <v>950</v>
      </c>
      <c r="K324" t="s">
        <v>55</v>
      </c>
      <c r="L324" t="s">
        <v>55</v>
      </c>
      <c r="M324" t="s">
        <v>765</v>
      </c>
    </row>
    <row r="325" spans="1:13" ht="15" customHeight="1" x14ac:dyDescent="0.25">
      <c r="A325" t="s">
        <v>1308</v>
      </c>
      <c r="B325" t="s">
        <v>199</v>
      </c>
      <c r="C325">
        <v>542351</v>
      </c>
      <c r="D325" t="s">
        <v>951</v>
      </c>
      <c r="E325" t="s">
        <v>952</v>
      </c>
      <c r="F325" t="s">
        <v>953</v>
      </c>
      <c r="G325" t="s">
        <v>954</v>
      </c>
      <c r="H325" t="s">
        <v>911</v>
      </c>
      <c r="I325" t="s">
        <v>560</v>
      </c>
      <c r="J325" t="s">
        <v>955</v>
      </c>
      <c r="K325" t="s">
        <v>55</v>
      </c>
      <c r="L325" t="s">
        <v>55</v>
      </c>
      <c r="M325" t="s">
        <v>810</v>
      </c>
    </row>
    <row r="326" spans="1:13" ht="15" customHeight="1" x14ac:dyDescent="0.25">
      <c r="A326" t="s">
        <v>1308</v>
      </c>
      <c r="B326" t="s">
        <v>199</v>
      </c>
      <c r="C326">
        <v>542290</v>
      </c>
      <c r="D326" t="s">
        <v>956</v>
      </c>
      <c r="E326" t="s">
        <v>957</v>
      </c>
      <c r="F326" t="s">
        <v>958</v>
      </c>
      <c r="G326" t="s">
        <v>959</v>
      </c>
      <c r="H326" t="s">
        <v>567</v>
      </c>
      <c r="I326" t="s">
        <v>560</v>
      </c>
      <c r="J326" t="s">
        <v>715</v>
      </c>
      <c r="K326" t="s">
        <v>55</v>
      </c>
      <c r="L326" t="s">
        <v>55</v>
      </c>
      <c r="M326" t="s">
        <v>933</v>
      </c>
    </row>
    <row r="327" spans="1:13" ht="15" customHeight="1" x14ac:dyDescent="0.25">
      <c r="A327" t="s">
        <v>1308</v>
      </c>
      <c r="B327" t="s">
        <v>199</v>
      </c>
      <c r="C327">
        <v>542242</v>
      </c>
      <c r="D327" t="s">
        <v>960</v>
      </c>
      <c r="E327" t="s">
        <v>961</v>
      </c>
      <c r="F327" t="s">
        <v>962</v>
      </c>
      <c r="G327" t="s">
        <v>963</v>
      </c>
      <c r="H327" t="s">
        <v>558</v>
      </c>
      <c r="I327" t="s">
        <v>560</v>
      </c>
      <c r="J327" t="s">
        <v>615</v>
      </c>
      <c r="K327" t="s">
        <v>55</v>
      </c>
      <c r="L327" t="s">
        <v>55</v>
      </c>
      <c r="M327" t="s">
        <v>964</v>
      </c>
    </row>
    <row r="328" spans="1:13" ht="15" customHeight="1" x14ac:dyDescent="0.25">
      <c r="A328" t="s">
        <v>1308</v>
      </c>
      <c r="B328" t="s">
        <v>199</v>
      </c>
      <c r="C328">
        <v>542361</v>
      </c>
      <c r="D328" t="s">
        <v>965</v>
      </c>
      <c r="E328" t="s">
        <v>966</v>
      </c>
      <c r="F328" t="s">
        <v>967</v>
      </c>
      <c r="G328" t="s">
        <v>968</v>
      </c>
      <c r="H328" t="s">
        <v>563</v>
      </c>
      <c r="I328" t="s">
        <v>560</v>
      </c>
      <c r="J328" t="s">
        <v>720</v>
      </c>
      <c r="K328" t="s">
        <v>55</v>
      </c>
      <c r="L328" t="s">
        <v>55</v>
      </c>
      <c r="M328" t="s">
        <v>778</v>
      </c>
    </row>
    <row r="329" spans="1:13" ht="15" customHeight="1" x14ac:dyDescent="0.25">
      <c r="A329" t="s">
        <v>1308</v>
      </c>
      <c r="B329" t="s">
        <v>199</v>
      </c>
      <c r="C329">
        <v>542291</v>
      </c>
      <c r="D329" t="s">
        <v>969</v>
      </c>
      <c r="E329" t="s">
        <v>970</v>
      </c>
      <c r="F329" t="s">
        <v>971</v>
      </c>
      <c r="G329" t="s">
        <v>972</v>
      </c>
      <c r="H329" t="s">
        <v>558</v>
      </c>
      <c r="I329" t="s">
        <v>560</v>
      </c>
      <c r="J329" t="s">
        <v>609</v>
      </c>
      <c r="K329" t="s">
        <v>55</v>
      </c>
      <c r="L329" t="s">
        <v>55</v>
      </c>
      <c r="M329" t="s">
        <v>973</v>
      </c>
    </row>
    <row r="330" spans="1:13" ht="15" customHeight="1" x14ac:dyDescent="0.25">
      <c r="A330" t="s">
        <v>1308</v>
      </c>
      <c r="B330" t="s">
        <v>199</v>
      </c>
      <c r="C330">
        <v>542410</v>
      </c>
      <c r="D330" t="s">
        <v>974</v>
      </c>
      <c r="E330" t="s">
        <v>975</v>
      </c>
      <c r="F330" t="s">
        <v>976</v>
      </c>
      <c r="G330" t="s">
        <v>977</v>
      </c>
      <c r="H330" t="s">
        <v>911</v>
      </c>
      <c r="I330" t="s">
        <v>560</v>
      </c>
      <c r="J330" t="s">
        <v>615</v>
      </c>
      <c r="K330" t="s">
        <v>55</v>
      </c>
      <c r="L330" t="s">
        <v>55</v>
      </c>
      <c r="M330" t="s">
        <v>752</v>
      </c>
    </row>
    <row r="331" spans="1:13" ht="15" customHeight="1" x14ac:dyDescent="0.25">
      <c r="A331" t="s">
        <v>1308</v>
      </c>
      <c r="B331" t="s">
        <v>199</v>
      </c>
      <c r="C331">
        <v>542358</v>
      </c>
      <c r="D331" t="s">
        <v>978</v>
      </c>
      <c r="E331" t="s">
        <v>979</v>
      </c>
      <c r="F331" t="s">
        <v>980</v>
      </c>
      <c r="G331" t="s">
        <v>981</v>
      </c>
      <c r="H331" t="s">
        <v>571</v>
      </c>
      <c r="I331" t="s">
        <v>560</v>
      </c>
      <c r="J331" t="s">
        <v>631</v>
      </c>
      <c r="K331" t="s">
        <v>55</v>
      </c>
      <c r="L331" t="s">
        <v>55</v>
      </c>
      <c r="M331" t="s">
        <v>745</v>
      </c>
    </row>
    <row r="332" spans="1:13" ht="15" customHeight="1" x14ac:dyDescent="0.25">
      <c r="A332" t="s">
        <v>1308</v>
      </c>
      <c r="B332" t="s">
        <v>199</v>
      </c>
      <c r="C332">
        <v>542231</v>
      </c>
      <c r="D332" t="s">
        <v>982</v>
      </c>
      <c r="E332" t="s">
        <v>983</v>
      </c>
      <c r="F332" t="s">
        <v>984</v>
      </c>
      <c r="G332" t="s">
        <v>985</v>
      </c>
      <c r="H332" t="s">
        <v>571</v>
      </c>
      <c r="I332" t="s">
        <v>560</v>
      </c>
      <c r="J332" t="s">
        <v>609</v>
      </c>
      <c r="K332" t="s">
        <v>55</v>
      </c>
      <c r="L332" t="s">
        <v>55</v>
      </c>
      <c r="M332" t="s">
        <v>771</v>
      </c>
    </row>
    <row r="333" spans="1:13" ht="15" customHeight="1" x14ac:dyDescent="0.25">
      <c r="A333" t="s">
        <v>1308</v>
      </c>
      <c r="B333" t="s">
        <v>199</v>
      </c>
      <c r="C333">
        <v>542304</v>
      </c>
      <c r="D333" t="s">
        <v>986</v>
      </c>
      <c r="E333" t="s">
        <v>987</v>
      </c>
      <c r="F333" t="s">
        <v>988</v>
      </c>
      <c r="G333" t="s">
        <v>989</v>
      </c>
      <c r="H333" t="s">
        <v>757</v>
      </c>
      <c r="I333" t="s">
        <v>560</v>
      </c>
      <c r="J333" t="s">
        <v>620</v>
      </c>
      <c r="K333" t="s">
        <v>55</v>
      </c>
      <c r="L333" t="s">
        <v>55</v>
      </c>
      <c r="M333" t="s">
        <v>990</v>
      </c>
    </row>
    <row r="334" spans="1:13" ht="15" customHeight="1" x14ac:dyDescent="0.25">
      <c r="A334" t="s">
        <v>1308</v>
      </c>
      <c r="B334" t="s">
        <v>199</v>
      </c>
      <c r="C334">
        <v>542380</v>
      </c>
      <c r="D334" t="s">
        <v>991</v>
      </c>
      <c r="E334" t="s">
        <v>992</v>
      </c>
      <c r="F334" t="s">
        <v>993</v>
      </c>
      <c r="G334" t="s">
        <v>994</v>
      </c>
      <c r="H334" t="s">
        <v>763</v>
      </c>
      <c r="I334" t="s">
        <v>560</v>
      </c>
      <c r="J334" t="s">
        <v>715</v>
      </c>
      <c r="K334" t="s">
        <v>55</v>
      </c>
      <c r="L334" t="s">
        <v>55</v>
      </c>
      <c r="M334" t="s">
        <v>745</v>
      </c>
    </row>
    <row r="335" spans="1:13" ht="15" customHeight="1" x14ac:dyDescent="0.25">
      <c r="A335" t="s">
        <v>1308</v>
      </c>
      <c r="B335" t="s">
        <v>199</v>
      </c>
      <c r="C335">
        <v>542367</v>
      </c>
      <c r="D335" t="s">
        <v>995</v>
      </c>
      <c r="E335" t="s">
        <v>996</v>
      </c>
      <c r="F335" t="s">
        <v>997</v>
      </c>
      <c r="G335" t="s">
        <v>998</v>
      </c>
      <c r="H335" t="s">
        <v>999</v>
      </c>
      <c r="I335" t="s">
        <v>560</v>
      </c>
      <c r="J335" t="s">
        <v>620</v>
      </c>
      <c r="K335" t="s">
        <v>55</v>
      </c>
      <c r="L335" t="s">
        <v>55</v>
      </c>
      <c r="M335" t="s">
        <v>752</v>
      </c>
    </row>
    <row r="336" spans="1:13" ht="15" customHeight="1" x14ac:dyDescent="0.25">
      <c r="A336" t="s">
        <v>1308</v>
      </c>
      <c r="B336" t="s">
        <v>199</v>
      </c>
      <c r="C336">
        <v>542229</v>
      </c>
      <c r="D336" t="s">
        <v>1000</v>
      </c>
      <c r="E336" t="s">
        <v>560</v>
      </c>
      <c r="F336" t="s">
        <v>1001</v>
      </c>
      <c r="G336" t="s">
        <v>1002</v>
      </c>
      <c r="H336" t="s">
        <v>571</v>
      </c>
      <c r="I336" t="s">
        <v>560</v>
      </c>
      <c r="J336" t="s">
        <v>1003</v>
      </c>
      <c r="K336" t="s">
        <v>55</v>
      </c>
      <c r="L336" t="s">
        <v>55</v>
      </c>
      <c r="M336" t="s">
        <v>827</v>
      </c>
    </row>
    <row r="337" spans="1:13" ht="15" customHeight="1" x14ac:dyDescent="0.25">
      <c r="A337" t="s">
        <v>1308</v>
      </c>
      <c r="B337" t="s">
        <v>199</v>
      </c>
      <c r="C337">
        <v>542232</v>
      </c>
      <c r="D337" t="s">
        <v>1004</v>
      </c>
      <c r="E337" t="s">
        <v>1005</v>
      </c>
      <c r="F337" t="s">
        <v>1006</v>
      </c>
      <c r="G337" t="s">
        <v>1007</v>
      </c>
      <c r="H337" t="s">
        <v>1008</v>
      </c>
      <c r="I337" t="s">
        <v>560</v>
      </c>
      <c r="J337" t="s">
        <v>615</v>
      </c>
      <c r="K337" t="s">
        <v>55</v>
      </c>
      <c r="L337" t="s">
        <v>55</v>
      </c>
      <c r="M337" t="s">
        <v>912</v>
      </c>
    </row>
    <row r="338" spans="1:13" ht="15" customHeight="1" x14ac:dyDescent="0.25">
      <c r="A338" t="s">
        <v>1308</v>
      </c>
      <c r="B338" t="s">
        <v>199</v>
      </c>
      <c r="C338">
        <v>542211</v>
      </c>
      <c r="D338" t="s">
        <v>1009</v>
      </c>
      <c r="E338" t="s">
        <v>1010</v>
      </c>
      <c r="F338" t="s">
        <v>1011</v>
      </c>
      <c r="G338" t="s">
        <v>1012</v>
      </c>
      <c r="H338" t="s">
        <v>567</v>
      </c>
      <c r="I338" t="s">
        <v>560</v>
      </c>
      <c r="J338" t="s">
        <v>715</v>
      </c>
      <c r="K338" t="s">
        <v>55</v>
      </c>
      <c r="L338" t="s">
        <v>55</v>
      </c>
      <c r="M338" t="s">
        <v>1013</v>
      </c>
    </row>
    <row r="339" spans="1:13" ht="15" customHeight="1" x14ac:dyDescent="0.25">
      <c r="A339" t="s">
        <v>1308</v>
      </c>
      <c r="B339" t="s">
        <v>199</v>
      </c>
      <c r="C339">
        <v>542390</v>
      </c>
      <c r="D339" t="s">
        <v>1014</v>
      </c>
      <c r="E339" t="s">
        <v>1015</v>
      </c>
      <c r="F339" t="s">
        <v>1016</v>
      </c>
      <c r="G339" t="s">
        <v>1017</v>
      </c>
      <c r="H339" t="s">
        <v>567</v>
      </c>
      <c r="I339" t="s">
        <v>560</v>
      </c>
      <c r="J339" t="s">
        <v>770</v>
      </c>
      <c r="K339" t="s">
        <v>55</v>
      </c>
      <c r="L339" t="s">
        <v>55</v>
      </c>
      <c r="M339" t="s">
        <v>758</v>
      </c>
    </row>
    <row r="340" spans="1:13" ht="15" customHeight="1" x14ac:dyDescent="0.25">
      <c r="A340" t="s">
        <v>1308</v>
      </c>
      <c r="B340" t="s">
        <v>199</v>
      </c>
      <c r="C340">
        <v>542588</v>
      </c>
      <c r="D340" t="s">
        <v>1018</v>
      </c>
      <c r="E340" t="s">
        <v>1019</v>
      </c>
      <c r="F340" t="s">
        <v>1020</v>
      </c>
      <c r="G340" t="s">
        <v>1021</v>
      </c>
      <c r="H340" t="s">
        <v>571</v>
      </c>
      <c r="I340" t="s">
        <v>560</v>
      </c>
      <c r="J340" t="s">
        <v>797</v>
      </c>
      <c r="K340" t="s">
        <v>55</v>
      </c>
      <c r="L340" t="s">
        <v>55</v>
      </c>
      <c r="M340" t="s">
        <v>1013</v>
      </c>
    </row>
    <row r="341" spans="1:13" ht="15" customHeight="1" x14ac:dyDescent="0.25">
      <c r="A341" t="s">
        <v>1308</v>
      </c>
      <c r="B341" t="s">
        <v>199</v>
      </c>
      <c r="C341">
        <v>542394</v>
      </c>
      <c r="D341" t="s">
        <v>1022</v>
      </c>
      <c r="E341" t="s">
        <v>1023</v>
      </c>
      <c r="F341" t="s">
        <v>1024</v>
      </c>
      <c r="G341" t="s">
        <v>1025</v>
      </c>
      <c r="H341" t="s">
        <v>558</v>
      </c>
      <c r="I341" t="s">
        <v>560</v>
      </c>
      <c r="J341" t="s">
        <v>689</v>
      </c>
      <c r="K341" t="s">
        <v>55</v>
      </c>
      <c r="L341" t="s">
        <v>55</v>
      </c>
      <c r="M341" t="s">
        <v>752</v>
      </c>
    </row>
    <row r="342" spans="1:13" ht="15" customHeight="1" x14ac:dyDescent="0.25">
      <c r="A342" t="s">
        <v>1308</v>
      </c>
      <c r="B342" t="s">
        <v>199</v>
      </c>
      <c r="C342">
        <v>542315</v>
      </c>
      <c r="D342" t="s">
        <v>1026</v>
      </c>
      <c r="E342" t="s">
        <v>1027</v>
      </c>
      <c r="F342" t="s">
        <v>1028</v>
      </c>
      <c r="G342" t="s">
        <v>1029</v>
      </c>
      <c r="H342" t="s">
        <v>576</v>
      </c>
      <c r="I342" t="s">
        <v>560</v>
      </c>
      <c r="J342" t="s">
        <v>1030</v>
      </c>
      <c r="K342" t="s">
        <v>55</v>
      </c>
      <c r="L342" t="s">
        <v>55</v>
      </c>
      <c r="M342" t="s">
        <v>752</v>
      </c>
    </row>
    <row r="343" spans="1:13" ht="15" customHeight="1" x14ac:dyDescent="0.25">
      <c r="A343" t="s">
        <v>1308</v>
      </c>
      <c r="B343" t="s">
        <v>199</v>
      </c>
      <c r="C343">
        <v>542318</v>
      </c>
      <c r="D343" t="s">
        <v>1031</v>
      </c>
      <c r="E343" t="s">
        <v>1032</v>
      </c>
      <c r="F343" t="s">
        <v>1033</v>
      </c>
      <c r="G343" t="s">
        <v>1034</v>
      </c>
      <c r="H343" t="s">
        <v>576</v>
      </c>
      <c r="I343" t="s">
        <v>560</v>
      </c>
      <c r="J343" t="s">
        <v>1035</v>
      </c>
      <c r="K343" t="s">
        <v>55</v>
      </c>
      <c r="L343" t="s">
        <v>55</v>
      </c>
      <c r="M343" t="s">
        <v>752</v>
      </c>
    </row>
    <row r="344" spans="1:13" ht="15" customHeight="1" x14ac:dyDescent="0.25">
      <c r="A344" t="s">
        <v>1308</v>
      </c>
      <c r="B344" t="s">
        <v>199</v>
      </c>
      <c r="C344">
        <v>542208</v>
      </c>
      <c r="D344" t="s">
        <v>1036</v>
      </c>
      <c r="E344" t="s">
        <v>1037</v>
      </c>
      <c r="F344" t="s">
        <v>1038</v>
      </c>
      <c r="G344" t="s">
        <v>1039</v>
      </c>
      <c r="H344" t="s">
        <v>999</v>
      </c>
      <c r="I344" t="s">
        <v>560</v>
      </c>
      <c r="J344" t="s">
        <v>770</v>
      </c>
      <c r="K344" t="s">
        <v>55</v>
      </c>
      <c r="L344" t="s">
        <v>55</v>
      </c>
      <c r="M344" t="s">
        <v>1040</v>
      </c>
    </row>
    <row r="345" spans="1:13" ht="15" customHeight="1" x14ac:dyDescent="0.25">
      <c r="A345" t="s">
        <v>1308</v>
      </c>
      <c r="B345" t="s">
        <v>199</v>
      </c>
      <c r="C345">
        <v>542233</v>
      </c>
      <c r="D345" t="s">
        <v>1041</v>
      </c>
      <c r="E345" t="s">
        <v>1042</v>
      </c>
      <c r="F345" t="s">
        <v>1043</v>
      </c>
      <c r="G345" t="s">
        <v>1044</v>
      </c>
      <c r="H345" t="s">
        <v>558</v>
      </c>
      <c r="I345" t="s">
        <v>560</v>
      </c>
      <c r="J345" t="s">
        <v>660</v>
      </c>
      <c r="K345" t="s">
        <v>55</v>
      </c>
      <c r="L345" t="s">
        <v>55</v>
      </c>
      <c r="M345" t="s">
        <v>1045</v>
      </c>
    </row>
    <row r="346" spans="1:13" ht="15" customHeight="1" x14ac:dyDescent="0.25">
      <c r="A346" t="s">
        <v>1308</v>
      </c>
      <c r="B346" t="s">
        <v>199</v>
      </c>
      <c r="C346">
        <v>542357</v>
      </c>
      <c r="D346" t="s">
        <v>1046</v>
      </c>
      <c r="E346" t="s">
        <v>1047</v>
      </c>
      <c r="F346" t="s">
        <v>1048</v>
      </c>
      <c r="G346" t="s">
        <v>1049</v>
      </c>
      <c r="H346" t="s">
        <v>1050</v>
      </c>
      <c r="I346" t="s">
        <v>560</v>
      </c>
      <c r="J346" t="s">
        <v>1051</v>
      </c>
      <c r="K346" t="s">
        <v>55</v>
      </c>
      <c r="L346" t="s">
        <v>55</v>
      </c>
      <c r="M346" t="s">
        <v>745</v>
      </c>
    </row>
    <row r="347" spans="1:13" ht="15" customHeight="1" x14ac:dyDescent="0.25">
      <c r="A347" t="s">
        <v>1308</v>
      </c>
      <c r="B347" t="s">
        <v>199</v>
      </c>
      <c r="C347">
        <v>542363</v>
      </c>
      <c r="D347" t="s">
        <v>1052</v>
      </c>
      <c r="E347" t="s">
        <v>1053</v>
      </c>
      <c r="F347" t="s">
        <v>1054</v>
      </c>
      <c r="G347" t="s">
        <v>1055</v>
      </c>
      <c r="H347" t="s">
        <v>563</v>
      </c>
      <c r="I347" t="s">
        <v>560</v>
      </c>
      <c r="J347" t="s">
        <v>777</v>
      </c>
      <c r="K347" t="s">
        <v>55</v>
      </c>
      <c r="L347" t="s">
        <v>55</v>
      </c>
      <c r="M347" t="s">
        <v>765</v>
      </c>
    </row>
    <row r="348" spans="1:13" ht="15" customHeight="1" x14ac:dyDescent="0.25">
      <c r="A348" t="s">
        <v>1308</v>
      </c>
      <c r="B348" t="s">
        <v>199</v>
      </c>
      <c r="C348">
        <v>542362</v>
      </c>
      <c r="D348" t="s">
        <v>1052</v>
      </c>
      <c r="E348" t="s">
        <v>1056</v>
      </c>
      <c r="F348" t="s">
        <v>1057</v>
      </c>
      <c r="G348" t="s">
        <v>1058</v>
      </c>
      <c r="H348" t="s">
        <v>563</v>
      </c>
      <c r="I348" t="s">
        <v>560</v>
      </c>
      <c r="J348" t="s">
        <v>615</v>
      </c>
      <c r="K348" t="s">
        <v>55</v>
      </c>
      <c r="L348" t="s">
        <v>55</v>
      </c>
      <c r="M348" t="s">
        <v>884</v>
      </c>
    </row>
    <row r="349" spans="1:13" ht="15" customHeight="1" x14ac:dyDescent="0.25">
      <c r="A349" t="s">
        <v>1308</v>
      </c>
      <c r="B349" t="s">
        <v>199</v>
      </c>
      <c r="C349">
        <v>542310</v>
      </c>
      <c r="D349" t="s">
        <v>1059</v>
      </c>
      <c r="E349" t="s">
        <v>1060</v>
      </c>
      <c r="F349" t="s">
        <v>1061</v>
      </c>
      <c r="G349" t="s">
        <v>1062</v>
      </c>
      <c r="H349" t="s">
        <v>576</v>
      </c>
      <c r="I349" t="s">
        <v>560</v>
      </c>
      <c r="J349" t="s">
        <v>615</v>
      </c>
      <c r="K349" t="s">
        <v>55</v>
      </c>
      <c r="L349" t="s">
        <v>55</v>
      </c>
      <c r="M349" t="s">
        <v>844</v>
      </c>
    </row>
    <row r="350" spans="1:13" ht="15" customHeight="1" x14ac:dyDescent="0.25">
      <c r="A350" t="s">
        <v>1308</v>
      </c>
      <c r="B350" t="s">
        <v>199</v>
      </c>
      <c r="C350">
        <v>542301</v>
      </c>
      <c r="D350" t="s">
        <v>1063</v>
      </c>
      <c r="E350" t="s">
        <v>1064</v>
      </c>
      <c r="F350" t="s">
        <v>1065</v>
      </c>
      <c r="G350" t="s">
        <v>1066</v>
      </c>
      <c r="H350" t="s">
        <v>999</v>
      </c>
      <c r="I350" t="s">
        <v>560</v>
      </c>
      <c r="J350" t="s">
        <v>751</v>
      </c>
      <c r="K350" t="s">
        <v>55</v>
      </c>
      <c r="L350" t="s">
        <v>55</v>
      </c>
      <c r="M350" t="s">
        <v>884</v>
      </c>
    </row>
    <row r="351" spans="1:13" ht="15" customHeight="1" x14ac:dyDescent="0.25">
      <c r="A351" t="s">
        <v>1308</v>
      </c>
      <c r="B351" t="s">
        <v>199</v>
      </c>
      <c r="C351">
        <v>542713</v>
      </c>
      <c r="D351" t="s">
        <v>1067</v>
      </c>
      <c r="E351" t="s">
        <v>1068</v>
      </c>
      <c r="F351" t="s">
        <v>1069</v>
      </c>
      <c r="G351" t="s">
        <v>1070</v>
      </c>
      <c r="H351" t="s">
        <v>792</v>
      </c>
      <c r="I351" t="s">
        <v>560</v>
      </c>
      <c r="J351" t="s">
        <v>927</v>
      </c>
      <c r="K351" t="s">
        <v>55</v>
      </c>
      <c r="L351" t="s">
        <v>55</v>
      </c>
      <c r="M351" t="s">
        <v>810</v>
      </c>
    </row>
    <row r="352" spans="1:13" ht="15" customHeight="1" x14ac:dyDescent="0.25">
      <c r="A352" t="s">
        <v>1308</v>
      </c>
      <c r="B352" t="s">
        <v>199</v>
      </c>
      <c r="C352">
        <v>542240</v>
      </c>
      <c r="D352" t="s">
        <v>1071</v>
      </c>
      <c r="E352" t="s">
        <v>1072</v>
      </c>
      <c r="F352" t="s">
        <v>1073</v>
      </c>
      <c r="G352" t="s">
        <v>1074</v>
      </c>
      <c r="H352" t="s">
        <v>744</v>
      </c>
      <c r="I352" t="s">
        <v>560</v>
      </c>
      <c r="J352" t="s">
        <v>1075</v>
      </c>
      <c r="K352" t="s">
        <v>55</v>
      </c>
      <c r="L352" t="s">
        <v>55</v>
      </c>
      <c r="M352" t="s">
        <v>1076</v>
      </c>
    </row>
    <row r="353" spans="1:13" ht="15" customHeight="1" x14ac:dyDescent="0.25">
      <c r="A353" t="s">
        <v>1308</v>
      </c>
      <c r="B353" t="s">
        <v>199</v>
      </c>
      <c r="C353">
        <v>542303</v>
      </c>
      <c r="D353" t="s">
        <v>1077</v>
      </c>
      <c r="E353" t="s">
        <v>1078</v>
      </c>
      <c r="F353" t="s">
        <v>1079</v>
      </c>
      <c r="G353" t="s">
        <v>1080</v>
      </c>
      <c r="H353" t="s">
        <v>750</v>
      </c>
      <c r="I353" t="s">
        <v>560</v>
      </c>
      <c r="J353" t="s">
        <v>1081</v>
      </c>
      <c r="K353" t="s">
        <v>55</v>
      </c>
      <c r="L353" t="s">
        <v>55</v>
      </c>
      <c r="M353" t="s">
        <v>990</v>
      </c>
    </row>
    <row r="354" spans="1:13" ht="15" customHeight="1" x14ac:dyDescent="0.25">
      <c r="A354" t="s">
        <v>1308</v>
      </c>
      <c r="B354" t="s">
        <v>199</v>
      </c>
      <c r="C354">
        <v>542293</v>
      </c>
      <c r="D354" t="s">
        <v>562</v>
      </c>
      <c r="E354" t="s">
        <v>1082</v>
      </c>
      <c r="F354" t="s">
        <v>1083</v>
      </c>
      <c r="G354" t="s">
        <v>1084</v>
      </c>
      <c r="H354" t="s">
        <v>563</v>
      </c>
      <c r="I354" t="s">
        <v>560</v>
      </c>
      <c r="J354" t="s">
        <v>1085</v>
      </c>
      <c r="K354" t="s">
        <v>55</v>
      </c>
      <c r="L354" t="s">
        <v>55</v>
      </c>
      <c r="M354" t="s">
        <v>973</v>
      </c>
    </row>
    <row r="355" spans="1:13" ht="15" customHeight="1" x14ac:dyDescent="0.25">
      <c r="A355" t="s">
        <v>1308</v>
      </c>
      <c r="B355" t="s">
        <v>199</v>
      </c>
      <c r="C355">
        <v>542371</v>
      </c>
      <c r="D355" t="s">
        <v>562</v>
      </c>
      <c r="E355" t="s">
        <v>1086</v>
      </c>
      <c r="F355" t="s">
        <v>564</v>
      </c>
      <c r="G355" t="s">
        <v>1087</v>
      </c>
      <c r="H355" t="s">
        <v>563</v>
      </c>
      <c r="I355" t="s">
        <v>560</v>
      </c>
      <c r="J355" t="s">
        <v>615</v>
      </c>
      <c r="K355" t="s">
        <v>55</v>
      </c>
      <c r="L355" t="s">
        <v>55</v>
      </c>
      <c r="M355" t="s">
        <v>1088</v>
      </c>
    </row>
    <row r="356" spans="1:13" ht="15" customHeight="1" x14ac:dyDescent="0.25">
      <c r="A356" t="s">
        <v>1308</v>
      </c>
      <c r="B356" t="s">
        <v>199</v>
      </c>
      <c r="C356">
        <v>542491</v>
      </c>
      <c r="D356" t="s">
        <v>1089</v>
      </c>
      <c r="E356" t="s">
        <v>1090</v>
      </c>
      <c r="F356" t="s">
        <v>1091</v>
      </c>
      <c r="G356" t="s">
        <v>1092</v>
      </c>
      <c r="H356" t="s">
        <v>567</v>
      </c>
      <c r="I356" t="s">
        <v>560</v>
      </c>
      <c r="J356" t="s">
        <v>660</v>
      </c>
      <c r="K356" t="s">
        <v>55</v>
      </c>
      <c r="L356" t="s">
        <v>55</v>
      </c>
      <c r="M356" t="s">
        <v>752</v>
      </c>
    </row>
    <row r="357" spans="1:13" ht="15" customHeight="1" x14ac:dyDescent="0.25">
      <c r="A357" t="s">
        <v>1308</v>
      </c>
      <c r="B357" t="s">
        <v>199</v>
      </c>
      <c r="C357">
        <v>542309</v>
      </c>
      <c r="D357" t="s">
        <v>566</v>
      </c>
      <c r="E357" t="s">
        <v>1093</v>
      </c>
      <c r="F357" t="s">
        <v>568</v>
      </c>
      <c r="G357" t="s">
        <v>1094</v>
      </c>
      <c r="H357" t="s">
        <v>567</v>
      </c>
      <c r="I357" t="s">
        <v>560</v>
      </c>
      <c r="J357" t="s">
        <v>609</v>
      </c>
      <c r="K357" t="s">
        <v>55</v>
      </c>
      <c r="L357" t="s">
        <v>55</v>
      </c>
      <c r="M357" t="s">
        <v>1088</v>
      </c>
    </row>
    <row r="358" spans="1:13" ht="15" customHeight="1" x14ac:dyDescent="0.25">
      <c r="A358" t="s">
        <v>1308</v>
      </c>
      <c r="B358" t="s">
        <v>199</v>
      </c>
      <c r="C358">
        <v>542360</v>
      </c>
      <c r="D358" t="s">
        <v>1095</v>
      </c>
      <c r="E358" t="s">
        <v>1096</v>
      </c>
      <c r="F358" t="s">
        <v>1097</v>
      </c>
      <c r="G358" t="s">
        <v>1098</v>
      </c>
      <c r="H358" t="s">
        <v>911</v>
      </c>
      <c r="I358" t="s">
        <v>560</v>
      </c>
      <c r="J358" t="s">
        <v>615</v>
      </c>
      <c r="K358" t="s">
        <v>55</v>
      </c>
      <c r="L358" t="s">
        <v>55</v>
      </c>
      <c r="M358" t="s">
        <v>752</v>
      </c>
    </row>
    <row r="359" spans="1:13" ht="15" customHeight="1" x14ac:dyDescent="0.25">
      <c r="A359" t="s">
        <v>1308</v>
      </c>
      <c r="B359" t="s">
        <v>199</v>
      </c>
      <c r="C359">
        <v>543925</v>
      </c>
      <c r="D359" t="s">
        <v>1099</v>
      </c>
      <c r="E359" t="s">
        <v>1100</v>
      </c>
      <c r="F359" t="s">
        <v>1101</v>
      </c>
      <c r="G359" t="s">
        <v>1102</v>
      </c>
      <c r="H359" t="s">
        <v>576</v>
      </c>
      <c r="I359" t="s">
        <v>560</v>
      </c>
      <c r="J359" t="s">
        <v>603</v>
      </c>
      <c r="K359" t="s">
        <v>55</v>
      </c>
      <c r="L359" t="s">
        <v>55</v>
      </c>
      <c r="M359" t="s">
        <v>1103</v>
      </c>
    </row>
    <row r="360" spans="1:13" ht="15" customHeight="1" x14ac:dyDescent="0.25">
      <c r="A360" t="s">
        <v>1308</v>
      </c>
      <c r="B360" t="s">
        <v>199</v>
      </c>
      <c r="C360">
        <v>542373</v>
      </c>
      <c r="D360" t="s">
        <v>1104</v>
      </c>
      <c r="E360" t="s">
        <v>1105</v>
      </c>
      <c r="F360" t="s">
        <v>1106</v>
      </c>
      <c r="G360" t="s">
        <v>1107</v>
      </c>
      <c r="H360" t="s">
        <v>563</v>
      </c>
      <c r="I360" t="s">
        <v>560</v>
      </c>
      <c r="J360" t="s">
        <v>615</v>
      </c>
      <c r="K360" t="s">
        <v>55</v>
      </c>
      <c r="L360" t="s">
        <v>55</v>
      </c>
      <c r="M360" t="s">
        <v>752</v>
      </c>
    </row>
    <row r="361" spans="1:13" ht="15" customHeight="1" x14ac:dyDescent="0.25">
      <c r="A361" t="s">
        <v>1308</v>
      </c>
      <c r="B361" t="s">
        <v>199</v>
      </c>
      <c r="C361">
        <v>542370</v>
      </c>
      <c r="D361" t="s">
        <v>1108</v>
      </c>
      <c r="E361" t="s">
        <v>1109</v>
      </c>
      <c r="F361" t="s">
        <v>1110</v>
      </c>
      <c r="G361" t="s">
        <v>1111</v>
      </c>
      <c r="H361" t="s">
        <v>571</v>
      </c>
      <c r="I361" t="s">
        <v>560</v>
      </c>
      <c r="J361" t="s">
        <v>689</v>
      </c>
      <c r="K361" t="s">
        <v>55</v>
      </c>
      <c r="L361" t="s">
        <v>55</v>
      </c>
      <c r="M361" t="s">
        <v>752</v>
      </c>
    </row>
    <row r="362" spans="1:13" ht="15" customHeight="1" x14ac:dyDescent="0.25">
      <c r="A362" t="s">
        <v>1308</v>
      </c>
      <c r="B362" t="s">
        <v>199</v>
      </c>
      <c r="C362">
        <v>542589</v>
      </c>
      <c r="D362" t="s">
        <v>1112</v>
      </c>
      <c r="E362" t="s">
        <v>1113</v>
      </c>
      <c r="F362" t="s">
        <v>1114</v>
      </c>
      <c r="G362" t="s">
        <v>1115</v>
      </c>
      <c r="H362" t="s">
        <v>911</v>
      </c>
      <c r="I362" t="s">
        <v>560</v>
      </c>
      <c r="J362" t="s">
        <v>1116</v>
      </c>
      <c r="K362" t="s">
        <v>55</v>
      </c>
      <c r="L362" t="s">
        <v>55</v>
      </c>
      <c r="M362" t="s">
        <v>787</v>
      </c>
    </row>
    <row r="363" spans="1:13" ht="15" customHeight="1" x14ac:dyDescent="0.25">
      <c r="A363" t="s">
        <v>1308</v>
      </c>
      <c r="B363" t="s">
        <v>199</v>
      </c>
      <c r="C363">
        <v>542350</v>
      </c>
      <c r="D363" t="s">
        <v>1117</v>
      </c>
      <c r="E363" t="s">
        <v>1118</v>
      </c>
      <c r="F363" t="s">
        <v>1119</v>
      </c>
      <c r="G363" t="s">
        <v>1120</v>
      </c>
      <c r="H363" t="s">
        <v>889</v>
      </c>
      <c r="I363" t="s">
        <v>560</v>
      </c>
      <c r="J363" t="s">
        <v>927</v>
      </c>
      <c r="K363" t="s">
        <v>55</v>
      </c>
      <c r="L363" t="s">
        <v>55</v>
      </c>
      <c r="M363" t="s">
        <v>752</v>
      </c>
    </row>
    <row r="364" spans="1:13" ht="15" customHeight="1" x14ac:dyDescent="0.25">
      <c r="A364" t="s">
        <v>1308</v>
      </c>
      <c r="B364" t="s">
        <v>199</v>
      </c>
      <c r="C364">
        <v>543869</v>
      </c>
      <c r="D364" t="s">
        <v>1121</v>
      </c>
      <c r="E364" t="s">
        <v>1122</v>
      </c>
      <c r="F364" t="s">
        <v>1123</v>
      </c>
      <c r="G364" t="s">
        <v>1124</v>
      </c>
      <c r="H364" t="s">
        <v>576</v>
      </c>
      <c r="I364" t="s">
        <v>560</v>
      </c>
      <c r="J364" t="s">
        <v>603</v>
      </c>
      <c r="K364" t="s">
        <v>55</v>
      </c>
      <c r="L364" t="s">
        <v>55</v>
      </c>
      <c r="M364" t="s">
        <v>752</v>
      </c>
    </row>
    <row r="365" spans="1:13" ht="15" customHeight="1" x14ac:dyDescent="0.25">
      <c r="A365" t="s">
        <v>1308</v>
      </c>
      <c r="B365" t="s">
        <v>199</v>
      </c>
      <c r="C365">
        <v>542385</v>
      </c>
      <c r="D365" t="s">
        <v>1125</v>
      </c>
      <c r="E365" t="s">
        <v>1126</v>
      </c>
      <c r="F365" t="s">
        <v>1127</v>
      </c>
      <c r="G365" t="s">
        <v>1128</v>
      </c>
      <c r="H365" t="s">
        <v>792</v>
      </c>
      <c r="I365" t="s">
        <v>560</v>
      </c>
      <c r="J365" t="s">
        <v>1129</v>
      </c>
      <c r="K365" t="s">
        <v>55</v>
      </c>
      <c r="L365" t="s">
        <v>55</v>
      </c>
      <c r="M365" t="s">
        <v>787</v>
      </c>
    </row>
    <row r="366" spans="1:13" ht="15" customHeight="1" x14ac:dyDescent="0.25">
      <c r="A366" t="s">
        <v>1308</v>
      </c>
      <c r="B366" t="s">
        <v>199</v>
      </c>
      <c r="C366">
        <v>542397</v>
      </c>
      <c r="D366" t="s">
        <v>1125</v>
      </c>
      <c r="E366" t="s">
        <v>1130</v>
      </c>
      <c r="F366" t="s">
        <v>1131</v>
      </c>
      <c r="G366" t="s">
        <v>1132</v>
      </c>
      <c r="H366" t="s">
        <v>792</v>
      </c>
      <c r="I366" t="s">
        <v>560</v>
      </c>
      <c r="J366" t="s">
        <v>603</v>
      </c>
      <c r="K366" t="s">
        <v>55</v>
      </c>
      <c r="L366" t="s">
        <v>55</v>
      </c>
      <c r="M366" t="s">
        <v>778</v>
      </c>
    </row>
    <row r="367" spans="1:13" ht="15" customHeight="1" x14ac:dyDescent="0.25">
      <c r="A367" t="s">
        <v>1308</v>
      </c>
      <c r="B367" t="s">
        <v>199</v>
      </c>
      <c r="C367">
        <v>542289</v>
      </c>
      <c r="D367" t="s">
        <v>1133</v>
      </c>
      <c r="E367" t="s">
        <v>1134</v>
      </c>
      <c r="F367" t="s">
        <v>1135</v>
      </c>
      <c r="G367" t="s">
        <v>1136</v>
      </c>
      <c r="H367" t="s">
        <v>576</v>
      </c>
      <c r="I367" t="s">
        <v>560</v>
      </c>
      <c r="J367" t="s">
        <v>615</v>
      </c>
      <c r="K367" t="s">
        <v>55</v>
      </c>
      <c r="L367" t="s">
        <v>55</v>
      </c>
      <c r="M367" t="s">
        <v>1103</v>
      </c>
    </row>
    <row r="368" spans="1:13" ht="15" customHeight="1" x14ac:dyDescent="0.25">
      <c r="A368" t="s">
        <v>1308</v>
      </c>
      <c r="B368" t="s">
        <v>199</v>
      </c>
      <c r="C368">
        <v>542313</v>
      </c>
      <c r="D368" t="s">
        <v>1137</v>
      </c>
      <c r="E368" t="s">
        <v>1138</v>
      </c>
      <c r="F368" t="s">
        <v>1139</v>
      </c>
      <c r="G368" t="s">
        <v>1140</v>
      </c>
      <c r="H368" t="s">
        <v>576</v>
      </c>
      <c r="I368" t="s">
        <v>560</v>
      </c>
      <c r="J368" t="s">
        <v>1141</v>
      </c>
      <c r="K368" t="s">
        <v>55</v>
      </c>
      <c r="L368" t="s">
        <v>55</v>
      </c>
      <c r="M368" t="s">
        <v>1142</v>
      </c>
    </row>
    <row r="369" spans="1:13" ht="15" customHeight="1" x14ac:dyDescent="0.25">
      <c r="A369" t="s">
        <v>1308</v>
      </c>
      <c r="B369" t="s">
        <v>199</v>
      </c>
      <c r="C369">
        <v>542320</v>
      </c>
      <c r="D369" t="s">
        <v>1143</v>
      </c>
      <c r="E369" t="s">
        <v>1144</v>
      </c>
      <c r="F369" t="s">
        <v>1145</v>
      </c>
      <c r="G369" t="s">
        <v>1146</v>
      </c>
      <c r="H369" t="s">
        <v>563</v>
      </c>
      <c r="I369" t="s">
        <v>560</v>
      </c>
      <c r="J369" t="s">
        <v>689</v>
      </c>
      <c r="K369" t="s">
        <v>55</v>
      </c>
      <c r="L369" t="s">
        <v>55</v>
      </c>
      <c r="M369" t="s">
        <v>1147</v>
      </c>
    </row>
    <row r="370" spans="1:13" ht="15" customHeight="1" x14ac:dyDescent="0.25">
      <c r="A370" t="s">
        <v>1308</v>
      </c>
      <c r="B370" t="s">
        <v>199</v>
      </c>
      <c r="C370">
        <v>542237</v>
      </c>
      <c r="D370" t="s">
        <v>1148</v>
      </c>
      <c r="E370" t="s">
        <v>1149</v>
      </c>
      <c r="F370" t="s">
        <v>1150</v>
      </c>
      <c r="G370" t="s">
        <v>1151</v>
      </c>
      <c r="H370" t="s">
        <v>757</v>
      </c>
      <c r="I370" t="s">
        <v>560</v>
      </c>
      <c r="J370" t="s">
        <v>1152</v>
      </c>
      <c r="K370" t="s">
        <v>55</v>
      </c>
      <c r="L370" t="s">
        <v>55</v>
      </c>
      <c r="M370" t="s">
        <v>1040</v>
      </c>
    </row>
    <row r="371" spans="1:13" ht="15" customHeight="1" x14ac:dyDescent="0.25">
      <c r="A371" t="s">
        <v>1308</v>
      </c>
      <c r="B371" t="s">
        <v>199</v>
      </c>
      <c r="C371">
        <v>542236</v>
      </c>
      <c r="D371" t="s">
        <v>1148</v>
      </c>
      <c r="E371" t="s">
        <v>1153</v>
      </c>
      <c r="F371" t="s">
        <v>1154</v>
      </c>
      <c r="G371" t="s">
        <v>1155</v>
      </c>
      <c r="H371" t="s">
        <v>757</v>
      </c>
      <c r="I371" t="s">
        <v>560</v>
      </c>
      <c r="J371" t="s">
        <v>1156</v>
      </c>
      <c r="K371" t="s">
        <v>55</v>
      </c>
      <c r="L371" t="s">
        <v>55</v>
      </c>
      <c r="M371" t="s">
        <v>827</v>
      </c>
    </row>
    <row r="372" spans="1:13" ht="15" customHeight="1" x14ac:dyDescent="0.25">
      <c r="A372" t="s">
        <v>1308</v>
      </c>
      <c r="B372" t="s">
        <v>199</v>
      </c>
      <c r="C372">
        <v>542325</v>
      </c>
      <c r="D372" t="s">
        <v>1157</v>
      </c>
      <c r="E372" t="s">
        <v>1158</v>
      </c>
      <c r="F372" t="s">
        <v>1159</v>
      </c>
      <c r="G372" t="s">
        <v>1160</v>
      </c>
      <c r="H372" t="s">
        <v>567</v>
      </c>
      <c r="I372" t="s">
        <v>560</v>
      </c>
      <c r="J372" t="s">
        <v>1161</v>
      </c>
      <c r="K372" t="s">
        <v>55</v>
      </c>
      <c r="L372" t="s">
        <v>55</v>
      </c>
      <c r="M372" t="s">
        <v>752</v>
      </c>
    </row>
    <row r="373" spans="1:13" ht="15" customHeight="1" x14ac:dyDescent="0.25">
      <c r="A373" t="s">
        <v>1308</v>
      </c>
      <c r="B373" t="s">
        <v>199</v>
      </c>
      <c r="C373">
        <v>542209</v>
      </c>
      <c r="D373" t="s">
        <v>1162</v>
      </c>
      <c r="E373" t="s">
        <v>1163</v>
      </c>
      <c r="F373" t="s">
        <v>1164</v>
      </c>
      <c r="G373" t="s">
        <v>1165</v>
      </c>
      <c r="H373" t="s">
        <v>999</v>
      </c>
      <c r="I373" t="s">
        <v>560</v>
      </c>
      <c r="J373" t="s">
        <v>596</v>
      </c>
      <c r="K373" t="s">
        <v>55</v>
      </c>
      <c r="L373" t="s">
        <v>55</v>
      </c>
      <c r="M373" t="s">
        <v>1045</v>
      </c>
    </row>
    <row r="374" spans="1:13" ht="15" customHeight="1" x14ac:dyDescent="0.25">
      <c r="A374" t="s">
        <v>1308</v>
      </c>
      <c r="B374" t="s">
        <v>199</v>
      </c>
      <c r="C374">
        <v>542470</v>
      </c>
      <c r="D374" t="s">
        <v>1166</v>
      </c>
      <c r="E374" t="s">
        <v>1167</v>
      </c>
      <c r="F374" t="s">
        <v>1168</v>
      </c>
      <c r="G374" t="s">
        <v>1169</v>
      </c>
      <c r="H374" t="s">
        <v>757</v>
      </c>
      <c r="I374" t="s">
        <v>560</v>
      </c>
      <c r="J374" t="s">
        <v>1170</v>
      </c>
      <c r="K374" t="s">
        <v>55</v>
      </c>
      <c r="L374" t="s">
        <v>55</v>
      </c>
      <c r="M374" t="s">
        <v>758</v>
      </c>
    </row>
    <row r="375" spans="1:13" ht="15" customHeight="1" x14ac:dyDescent="0.25">
      <c r="A375" t="s">
        <v>1308</v>
      </c>
      <c r="B375" t="s">
        <v>199</v>
      </c>
      <c r="C375">
        <v>542308</v>
      </c>
      <c r="D375" t="s">
        <v>1171</v>
      </c>
      <c r="E375" t="s">
        <v>1172</v>
      </c>
      <c r="F375" t="s">
        <v>1173</v>
      </c>
      <c r="G375" t="s">
        <v>1174</v>
      </c>
      <c r="H375" t="s">
        <v>911</v>
      </c>
      <c r="I375" t="s">
        <v>560</v>
      </c>
      <c r="J375" t="s">
        <v>609</v>
      </c>
      <c r="K375" t="s">
        <v>55</v>
      </c>
      <c r="L375" t="s">
        <v>55</v>
      </c>
      <c r="M375" t="s">
        <v>815</v>
      </c>
    </row>
    <row r="376" spans="1:13" ht="15" customHeight="1" x14ac:dyDescent="0.25">
      <c r="A376" t="s">
        <v>1308</v>
      </c>
      <c r="B376" t="s">
        <v>199</v>
      </c>
      <c r="C376">
        <v>542352</v>
      </c>
      <c r="D376" t="s">
        <v>1175</v>
      </c>
      <c r="E376" t="s">
        <v>1176</v>
      </c>
      <c r="F376" t="s">
        <v>1177</v>
      </c>
      <c r="G376" t="s">
        <v>1178</v>
      </c>
      <c r="H376" t="s">
        <v>571</v>
      </c>
      <c r="I376" t="s">
        <v>560</v>
      </c>
      <c r="J376" t="s">
        <v>603</v>
      </c>
      <c r="K376" t="s">
        <v>55</v>
      </c>
      <c r="L376" t="s">
        <v>55</v>
      </c>
      <c r="M376" t="s">
        <v>765</v>
      </c>
    </row>
    <row r="377" spans="1:13" ht="15" customHeight="1" x14ac:dyDescent="0.25">
      <c r="A377" t="s">
        <v>1308</v>
      </c>
      <c r="B377" t="s">
        <v>199</v>
      </c>
      <c r="C377">
        <v>543429</v>
      </c>
      <c r="D377" t="s">
        <v>1175</v>
      </c>
      <c r="E377" t="s">
        <v>1179</v>
      </c>
      <c r="F377" t="s">
        <v>1180</v>
      </c>
      <c r="G377" t="s">
        <v>1181</v>
      </c>
      <c r="H377" t="s">
        <v>571</v>
      </c>
      <c r="I377" t="s">
        <v>560</v>
      </c>
      <c r="J377" t="s">
        <v>1182</v>
      </c>
      <c r="K377" t="s">
        <v>55</v>
      </c>
      <c r="L377" t="s">
        <v>55</v>
      </c>
      <c r="M377" t="s">
        <v>752</v>
      </c>
    </row>
    <row r="378" spans="1:13" ht="15" customHeight="1" x14ac:dyDescent="0.25">
      <c r="A378" t="s">
        <v>1308</v>
      </c>
      <c r="B378" t="s">
        <v>199</v>
      </c>
      <c r="C378">
        <v>543249</v>
      </c>
      <c r="D378" t="s">
        <v>1183</v>
      </c>
      <c r="E378" t="s">
        <v>1184</v>
      </c>
      <c r="F378" t="s">
        <v>1185</v>
      </c>
      <c r="G378" t="s">
        <v>1186</v>
      </c>
      <c r="H378" t="s">
        <v>757</v>
      </c>
      <c r="I378" t="s">
        <v>560</v>
      </c>
      <c r="J378" t="s">
        <v>615</v>
      </c>
      <c r="K378" t="s">
        <v>55</v>
      </c>
      <c r="L378" t="s">
        <v>55</v>
      </c>
      <c r="M378" t="s">
        <v>787</v>
      </c>
    </row>
    <row r="379" spans="1:13" ht="15" customHeight="1" x14ac:dyDescent="0.25">
      <c r="A379" t="s">
        <v>1308</v>
      </c>
      <c r="B379" t="s">
        <v>199</v>
      </c>
      <c r="C379">
        <v>543027</v>
      </c>
      <c r="D379" t="s">
        <v>1187</v>
      </c>
      <c r="E379" t="s">
        <v>1188</v>
      </c>
      <c r="F379" t="s">
        <v>1189</v>
      </c>
      <c r="G379" t="s">
        <v>1190</v>
      </c>
      <c r="H379" t="s">
        <v>911</v>
      </c>
      <c r="I379" t="s">
        <v>560</v>
      </c>
      <c r="J379" t="s">
        <v>631</v>
      </c>
      <c r="K379" t="s">
        <v>55</v>
      </c>
      <c r="L379" t="s">
        <v>55</v>
      </c>
      <c r="M379" t="s">
        <v>912</v>
      </c>
    </row>
    <row r="380" spans="1:13" ht="15" customHeight="1" x14ac:dyDescent="0.25">
      <c r="A380" t="s">
        <v>1308</v>
      </c>
      <c r="B380" t="s">
        <v>199</v>
      </c>
      <c r="C380">
        <v>542244</v>
      </c>
      <c r="D380" t="s">
        <v>1191</v>
      </c>
      <c r="E380" t="s">
        <v>1192</v>
      </c>
      <c r="F380" t="s">
        <v>1193</v>
      </c>
      <c r="G380" t="s">
        <v>1194</v>
      </c>
      <c r="H380" t="s">
        <v>744</v>
      </c>
      <c r="I380" t="s">
        <v>560</v>
      </c>
      <c r="J380" t="s">
        <v>660</v>
      </c>
      <c r="K380" t="s">
        <v>55</v>
      </c>
      <c r="L380" t="s">
        <v>55</v>
      </c>
      <c r="M380" t="s">
        <v>1013</v>
      </c>
    </row>
    <row r="381" spans="1:13" ht="15" customHeight="1" x14ac:dyDescent="0.25">
      <c r="A381" t="s">
        <v>1308</v>
      </c>
      <c r="B381" t="s">
        <v>199</v>
      </c>
      <c r="C381">
        <v>542349</v>
      </c>
      <c r="D381" t="s">
        <v>1195</v>
      </c>
      <c r="E381" t="s">
        <v>1196</v>
      </c>
      <c r="F381" t="s">
        <v>1197</v>
      </c>
      <c r="G381" t="s">
        <v>1198</v>
      </c>
      <c r="H381" t="s">
        <v>1199</v>
      </c>
      <c r="I381" t="s">
        <v>560</v>
      </c>
      <c r="J381" t="s">
        <v>927</v>
      </c>
      <c r="K381" t="s">
        <v>55</v>
      </c>
      <c r="L381" t="s">
        <v>55</v>
      </c>
      <c r="M381" t="s">
        <v>804</v>
      </c>
    </row>
    <row r="382" spans="1:13" ht="15" customHeight="1" x14ac:dyDescent="0.25">
      <c r="A382" t="s">
        <v>1308</v>
      </c>
      <c r="B382" t="s">
        <v>199</v>
      </c>
      <c r="C382">
        <v>542329</v>
      </c>
      <c r="D382" t="s">
        <v>1200</v>
      </c>
      <c r="E382" t="s">
        <v>1201</v>
      </c>
      <c r="F382" t="s">
        <v>1202</v>
      </c>
      <c r="G382" t="s">
        <v>1203</v>
      </c>
      <c r="H382" t="s">
        <v>849</v>
      </c>
      <c r="I382" t="s">
        <v>560</v>
      </c>
      <c r="J382" t="s">
        <v>689</v>
      </c>
      <c r="K382" t="s">
        <v>55</v>
      </c>
      <c r="L382" t="s">
        <v>55</v>
      </c>
      <c r="M382" t="s">
        <v>844</v>
      </c>
    </row>
    <row r="383" spans="1:13" ht="15" customHeight="1" x14ac:dyDescent="0.25">
      <c r="A383" t="s">
        <v>1308</v>
      </c>
      <c r="B383" t="s">
        <v>199</v>
      </c>
      <c r="C383">
        <v>542238</v>
      </c>
      <c r="D383" t="s">
        <v>1204</v>
      </c>
      <c r="E383" t="s">
        <v>1205</v>
      </c>
      <c r="F383" t="s">
        <v>1206</v>
      </c>
      <c r="G383" t="s">
        <v>1207</v>
      </c>
      <c r="H383" t="s">
        <v>911</v>
      </c>
      <c r="I383" t="s">
        <v>560</v>
      </c>
      <c r="J383" t="s">
        <v>1035</v>
      </c>
      <c r="K383" t="s">
        <v>55</v>
      </c>
      <c r="L383" t="s">
        <v>55</v>
      </c>
      <c r="M383" t="s">
        <v>1208</v>
      </c>
    </row>
    <row r="384" spans="1:13" ht="15" customHeight="1" x14ac:dyDescent="0.25">
      <c r="A384" t="s">
        <v>1308</v>
      </c>
      <c r="B384" t="s">
        <v>199</v>
      </c>
      <c r="C384">
        <v>542387</v>
      </c>
      <c r="D384" t="s">
        <v>1209</v>
      </c>
      <c r="E384" t="s">
        <v>1210</v>
      </c>
      <c r="F384" t="s">
        <v>1211</v>
      </c>
      <c r="G384" t="s">
        <v>1212</v>
      </c>
      <c r="H384" t="s">
        <v>757</v>
      </c>
      <c r="I384" t="s">
        <v>560</v>
      </c>
      <c r="J384" t="s">
        <v>603</v>
      </c>
      <c r="K384" t="s">
        <v>55</v>
      </c>
      <c r="L384" t="s">
        <v>55</v>
      </c>
      <c r="M384" t="s">
        <v>765</v>
      </c>
    </row>
    <row r="385" spans="1:13" ht="15" customHeight="1" x14ac:dyDescent="0.25">
      <c r="A385" t="s">
        <v>1308</v>
      </c>
      <c r="B385" t="s">
        <v>199</v>
      </c>
      <c r="C385">
        <v>542299</v>
      </c>
      <c r="D385" t="s">
        <v>1213</v>
      </c>
      <c r="E385" t="s">
        <v>1214</v>
      </c>
      <c r="F385" t="s">
        <v>1215</v>
      </c>
      <c r="G385" t="s">
        <v>1216</v>
      </c>
      <c r="H385" t="s">
        <v>889</v>
      </c>
      <c r="I385" t="s">
        <v>560</v>
      </c>
      <c r="J385" t="s">
        <v>603</v>
      </c>
      <c r="K385" t="s">
        <v>55</v>
      </c>
      <c r="L385" t="s">
        <v>55</v>
      </c>
      <c r="M385" t="s">
        <v>884</v>
      </c>
    </row>
    <row r="386" spans="1:13" ht="15" customHeight="1" x14ac:dyDescent="0.25">
      <c r="A386" t="s">
        <v>1308</v>
      </c>
      <c r="B386" t="s">
        <v>199</v>
      </c>
      <c r="C386">
        <v>542369</v>
      </c>
      <c r="D386" t="s">
        <v>1217</v>
      </c>
      <c r="E386" t="s">
        <v>914</v>
      </c>
      <c r="F386" t="s">
        <v>1218</v>
      </c>
      <c r="G386" t="s">
        <v>1219</v>
      </c>
      <c r="H386" t="s">
        <v>1199</v>
      </c>
      <c r="I386" t="s">
        <v>560</v>
      </c>
      <c r="J386" t="s">
        <v>1220</v>
      </c>
      <c r="K386" t="s">
        <v>55</v>
      </c>
      <c r="L386" t="s">
        <v>55</v>
      </c>
      <c r="M386" t="s">
        <v>815</v>
      </c>
    </row>
    <row r="387" spans="1:13" ht="15" customHeight="1" x14ac:dyDescent="0.25">
      <c r="A387" t="s">
        <v>1308</v>
      </c>
      <c r="B387" t="s">
        <v>199</v>
      </c>
      <c r="C387">
        <v>542384</v>
      </c>
      <c r="D387" t="s">
        <v>1221</v>
      </c>
      <c r="E387" t="s">
        <v>1222</v>
      </c>
      <c r="F387" t="s">
        <v>1223</v>
      </c>
      <c r="G387" t="s">
        <v>1224</v>
      </c>
      <c r="H387" t="s">
        <v>576</v>
      </c>
      <c r="I387" t="s">
        <v>560</v>
      </c>
      <c r="J387" t="s">
        <v>770</v>
      </c>
      <c r="K387" t="s">
        <v>55</v>
      </c>
      <c r="L387" t="s">
        <v>55</v>
      </c>
      <c r="M387" t="s">
        <v>1225</v>
      </c>
    </row>
    <row r="388" spans="1:13" ht="15" customHeight="1" x14ac:dyDescent="0.25">
      <c r="A388" t="s">
        <v>1308</v>
      </c>
      <c r="B388" t="s">
        <v>199</v>
      </c>
      <c r="C388">
        <v>542378</v>
      </c>
      <c r="D388" t="s">
        <v>1226</v>
      </c>
      <c r="E388" t="s">
        <v>732</v>
      </c>
      <c r="F388" t="s">
        <v>1227</v>
      </c>
      <c r="G388" t="s">
        <v>1228</v>
      </c>
      <c r="H388" t="s">
        <v>576</v>
      </c>
      <c r="I388" t="s">
        <v>560</v>
      </c>
      <c r="J388" t="s">
        <v>620</v>
      </c>
      <c r="K388" t="s">
        <v>55</v>
      </c>
      <c r="L388" t="s">
        <v>55</v>
      </c>
      <c r="M388" t="s">
        <v>1147</v>
      </c>
    </row>
    <row r="389" spans="1:13" ht="15" customHeight="1" x14ac:dyDescent="0.25">
      <c r="A389" t="s">
        <v>1308</v>
      </c>
      <c r="B389" t="s">
        <v>199</v>
      </c>
      <c r="C389">
        <v>542386</v>
      </c>
      <c r="D389" t="s">
        <v>1229</v>
      </c>
      <c r="E389" t="s">
        <v>1230</v>
      </c>
      <c r="F389" t="s">
        <v>1231</v>
      </c>
      <c r="G389" t="s">
        <v>1232</v>
      </c>
      <c r="H389" t="s">
        <v>757</v>
      </c>
      <c r="I389" t="s">
        <v>560</v>
      </c>
      <c r="J389" t="s">
        <v>660</v>
      </c>
      <c r="K389" t="s">
        <v>55</v>
      </c>
      <c r="L389" t="s">
        <v>55</v>
      </c>
      <c r="M389" t="s">
        <v>787</v>
      </c>
    </row>
    <row r="390" spans="1:13" ht="15" customHeight="1" x14ac:dyDescent="0.25">
      <c r="A390" t="s">
        <v>1308</v>
      </c>
      <c r="B390" t="s">
        <v>199</v>
      </c>
      <c r="C390">
        <v>542489</v>
      </c>
      <c r="D390" t="s">
        <v>1233</v>
      </c>
      <c r="E390" t="s">
        <v>1234</v>
      </c>
      <c r="F390" t="s">
        <v>1235</v>
      </c>
      <c r="G390" t="s">
        <v>1236</v>
      </c>
      <c r="H390" t="s">
        <v>792</v>
      </c>
      <c r="I390" t="s">
        <v>560</v>
      </c>
      <c r="J390" t="s">
        <v>615</v>
      </c>
      <c r="K390" t="s">
        <v>55</v>
      </c>
      <c r="L390" t="s">
        <v>55</v>
      </c>
      <c r="M390" t="s">
        <v>1237</v>
      </c>
    </row>
    <row r="391" spans="1:13" ht="15" customHeight="1" x14ac:dyDescent="0.25">
      <c r="A391" t="s">
        <v>1308</v>
      </c>
      <c r="B391" t="s">
        <v>199</v>
      </c>
      <c r="C391">
        <v>542317</v>
      </c>
      <c r="D391" t="s">
        <v>1238</v>
      </c>
      <c r="E391" t="s">
        <v>1239</v>
      </c>
      <c r="F391" t="s">
        <v>1240</v>
      </c>
      <c r="G391" t="s">
        <v>1241</v>
      </c>
      <c r="H391" t="s">
        <v>757</v>
      </c>
      <c r="I391" t="s">
        <v>560</v>
      </c>
      <c r="J391" t="s">
        <v>1242</v>
      </c>
      <c r="K391" t="s">
        <v>55</v>
      </c>
      <c r="L391" t="s">
        <v>55</v>
      </c>
      <c r="M391" t="s">
        <v>787</v>
      </c>
    </row>
    <row r="392" spans="1:13" ht="15" customHeight="1" x14ac:dyDescent="0.25">
      <c r="A392" t="s">
        <v>1308</v>
      </c>
      <c r="B392" t="s">
        <v>199</v>
      </c>
      <c r="C392">
        <v>542469</v>
      </c>
      <c r="D392" t="s">
        <v>1243</v>
      </c>
      <c r="E392" t="s">
        <v>1244</v>
      </c>
      <c r="F392" t="s">
        <v>1245</v>
      </c>
      <c r="G392" t="s">
        <v>1246</v>
      </c>
      <c r="H392" t="s">
        <v>563</v>
      </c>
      <c r="I392" t="s">
        <v>560</v>
      </c>
      <c r="J392" t="s">
        <v>603</v>
      </c>
      <c r="K392" t="s">
        <v>55</v>
      </c>
      <c r="L392" t="s">
        <v>55</v>
      </c>
      <c r="M392" t="s">
        <v>884</v>
      </c>
    </row>
    <row r="393" spans="1:13" ht="15" customHeight="1" x14ac:dyDescent="0.25">
      <c r="A393" t="s">
        <v>1308</v>
      </c>
      <c r="B393" t="s">
        <v>199</v>
      </c>
      <c r="C393">
        <v>542245</v>
      </c>
      <c r="D393" t="s">
        <v>1247</v>
      </c>
      <c r="E393" t="s">
        <v>1248</v>
      </c>
      <c r="F393" t="s">
        <v>1249</v>
      </c>
      <c r="G393" t="s">
        <v>1250</v>
      </c>
      <c r="H393" t="s">
        <v>744</v>
      </c>
      <c r="I393" t="s">
        <v>560</v>
      </c>
      <c r="J393" t="s">
        <v>615</v>
      </c>
      <c r="K393" t="s">
        <v>55</v>
      </c>
      <c r="L393" t="s">
        <v>55</v>
      </c>
      <c r="M393" t="s">
        <v>827</v>
      </c>
    </row>
    <row r="394" spans="1:13" ht="15" customHeight="1" x14ac:dyDescent="0.25">
      <c r="A394" t="s">
        <v>1308</v>
      </c>
      <c r="B394" t="s">
        <v>199</v>
      </c>
      <c r="C394">
        <v>542372</v>
      </c>
      <c r="D394" t="s">
        <v>1251</v>
      </c>
      <c r="E394" t="s">
        <v>1252</v>
      </c>
      <c r="F394" t="s">
        <v>1253</v>
      </c>
      <c r="G394" t="s">
        <v>1254</v>
      </c>
      <c r="H394" t="s">
        <v>576</v>
      </c>
      <c r="I394" t="s">
        <v>560</v>
      </c>
      <c r="J394" t="s">
        <v>615</v>
      </c>
      <c r="K394" t="s">
        <v>55</v>
      </c>
      <c r="L394" t="s">
        <v>55</v>
      </c>
      <c r="M394" t="s">
        <v>787</v>
      </c>
    </row>
    <row r="395" spans="1:13" ht="15" customHeight="1" x14ac:dyDescent="0.25">
      <c r="A395" t="s">
        <v>1308</v>
      </c>
      <c r="B395" t="s">
        <v>199</v>
      </c>
      <c r="C395">
        <v>542321</v>
      </c>
      <c r="D395" t="s">
        <v>1255</v>
      </c>
      <c r="E395" t="s">
        <v>1256</v>
      </c>
      <c r="F395" t="s">
        <v>1257</v>
      </c>
      <c r="G395" t="s">
        <v>1258</v>
      </c>
      <c r="H395" t="s">
        <v>792</v>
      </c>
      <c r="I395" t="s">
        <v>560</v>
      </c>
      <c r="J395" t="s">
        <v>631</v>
      </c>
      <c r="K395" t="s">
        <v>55</v>
      </c>
      <c r="L395" t="s">
        <v>55</v>
      </c>
      <c r="M395" t="s">
        <v>752</v>
      </c>
    </row>
    <row r="396" spans="1:13" ht="15" customHeight="1" x14ac:dyDescent="0.25">
      <c r="A396" t="s">
        <v>1308</v>
      </c>
      <c r="B396" t="s">
        <v>199</v>
      </c>
      <c r="C396">
        <v>542379</v>
      </c>
      <c r="D396" t="s">
        <v>1259</v>
      </c>
      <c r="E396" t="s">
        <v>1260</v>
      </c>
      <c r="F396" t="s">
        <v>1261</v>
      </c>
      <c r="G396" t="s">
        <v>1262</v>
      </c>
      <c r="H396" t="s">
        <v>776</v>
      </c>
      <c r="I396" t="s">
        <v>560</v>
      </c>
      <c r="J396" t="s">
        <v>1263</v>
      </c>
      <c r="K396" t="s">
        <v>55</v>
      </c>
      <c r="L396" t="s">
        <v>55</v>
      </c>
      <c r="M396" t="s">
        <v>752</v>
      </c>
    </row>
    <row r="397" spans="1:13" ht="15" customHeight="1" x14ac:dyDescent="0.25">
      <c r="A397" t="s">
        <v>1308</v>
      </c>
      <c r="B397" t="s">
        <v>199</v>
      </c>
      <c r="C397">
        <v>542328</v>
      </c>
      <c r="D397" t="s">
        <v>1264</v>
      </c>
      <c r="E397" t="s">
        <v>1265</v>
      </c>
      <c r="F397" t="s">
        <v>1266</v>
      </c>
      <c r="G397" t="s">
        <v>1267</v>
      </c>
      <c r="H397" t="s">
        <v>1050</v>
      </c>
      <c r="I397" t="s">
        <v>560</v>
      </c>
      <c r="J397" t="s">
        <v>922</v>
      </c>
      <c r="K397" t="s">
        <v>55</v>
      </c>
      <c r="L397" t="s">
        <v>55</v>
      </c>
      <c r="M397" t="s">
        <v>752</v>
      </c>
    </row>
    <row r="398" spans="1:13" ht="15" customHeight="1" x14ac:dyDescent="0.25">
      <c r="A398" t="s">
        <v>1308</v>
      </c>
      <c r="B398" t="s">
        <v>199</v>
      </c>
      <c r="C398">
        <v>542234</v>
      </c>
      <c r="D398" t="s">
        <v>1268</v>
      </c>
      <c r="E398" t="s">
        <v>1269</v>
      </c>
      <c r="F398" t="s">
        <v>1270</v>
      </c>
      <c r="G398" t="s">
        <v>1271</v>
      </c>
      <c r="H398" t="s">
        <v>558</v>
      </c>
      <c r="I398" t="s">
        <v>560</v>
      </c>
      <c r="J398" t="s">
        <v>1272</v>
      </c>
      <c r="K398" t="s">
        <v>55</v>
      </c>
      <c r="L398" t="s">
        <v>55</v>
      </c>
      <c r="M398" t="s">
        <v>1273</v>
      </c>
    </row>
    <row r="399" spans="1:13" ht="15" customHeight="1" x14ac:dyDescent="0.25">
      <c r="A399" t="s">
        <v>1308</v>
      </c>
      <c r="B399" t="s">
        <v>199</v>
      </c>
      <c r="C399">
        <v>542292</v>
      </c>
      <c r="D399" t="s">
        <v>1274</v>
      </c>
      <c r="E399" t="s">
        <v>1275</v>
      </c>
      <c r="F399" t="s">
        <v>1276</v>
      </c>
      <c r="G399" t="s">
        <v>1277</v>
      </c>
      <c r="H399" t="s">
        <v>1278</v>
      </c>
      <c r="I399" t="s">
        <v>560</v>
      </c>
      <c r="J399" t="s">
        <v>615</v>
      </c>
      <c r="K399" t="s">
        <v>55</v>
      </c>
      <c r="L399" t="s">
        <v>55</v>
      </c>
      <c r="M399" t="s">
        <v>1279</v>
      </c>
    </row>
    <row r="400" spans="1:13" ht="15" customHeight="1" x14ac:dyDescent="0.25">
      <c r="A400" t="s">
        <v>1308</v>
      </c>
      <c r="B400" t="s">
        <v>199</v>
      </c>
      <c r="C400">
        <v>542228</v>
      </c>
      <c r="D400" t="s">
        <v>1280</v>
      </c>
      <c r="E400" t="s">
        <v>1281</v>
      </c>
      <c r="F400" t="s">
        <v>1282</v>
      </c>
      <c r="G400" t="s">
        <v>1283</v>
      </c>
      <c r="H400" t="s">
        <v>792</v>
      </c>
      <c r="I400" t="s">
        <v>560</v>
      </c>
      <c r="J400" t="s">
        <v>620</v>
      </c>
      <c r="K400" t="s">
        <v>55</v>
      </c>
      <c r="L400" t="s">
        <v>55</v>
      </c>
      <c r="M400" t="s">
        <v>827</v>
      </c>
    </row>
    <row r="401" spans="1:13" ht="15" customHeight="1" x14ac:dyDescent="0.25">
      <c r="A401" t="s">
        <v>1308</v>
      </c>
      <c r="B401" t="s">
        <v>199</v>
      </c>
      <c r="C401">
        <v>542391</v>
      </c>
      <c r="D401" t="s">
        <v>1284</v>
      </c>
      <c r="E401" t="s">
        <v>881</v>
      </c>
      <c r="F401" t="s">
        <v>1285</v>
      </c>
      <c r="G401" t="s">
        <v>1286</v>
      </c>
      <c r="H401" t="s">
        <v>757</v>
      </c>
      <c r="I401" t="s">
        <v>560</v>
      </c>
      <c r="J401" t="s">
        <v>1287</v>
      </c>
      <c r="K401" t="s">
        <v>55</v>
      </c>
      <c r="L401" t="s">
        <v>55</v>
      </c>
      <c r="M401" t="s">
        <v>884</v>
      </c>
    </row>
    <row r="402" spans="1:13" ht="15" customHeight="1" x14ac:dyDescent="0.25">
      <c r="A402" t="s">
        <v>1308</v>
      </c>
      <c r="B402" t="s">
        <v>199</v>
      </c>
      <c r="C402">
        <v>542210</v>
      </c>
      <c r="D402" t="s">
        <v>1288</v>
      </c>
      <c r="E402" t="s">
        <v>1289</v>
      </c>
      <c r="F402" t="s">
        <v>1290</v>
      </c>
      <c r="G402" t="s">
        <v>1291</v>
      </c>
      <c r="H402" t="s">
        <v>803</v>
      </c>
      <c r="I402" t="s">
        <v>560</v>
      </c>
      <c r="J402" t="s">
        <v>927</v>
      </c>
      <c r="K402" t="s">
        <v>55</v>
      </c>
      <c r="L402" t="s">
        <v>55</v>
      </c>
      <c r="M402" t="s">
        <v>912</v>
      </c>
    </row>
    <row r="403" spans="1:13" ht="15" customHeight="1" x14ac:dyDescent="0.25">
      <c r="A403" t="s">
        <v>1308</v>
      </c>
      <c r="B403" t="s">
        <v>199</v>
      </c>
      <c r="C403">
        <v>542324</v>
      </c>
      <c r="D403" t="s">
        <v>1292</v>
      </c>
      <c r="E403" t="s">
        <v>1293</v>
      </c>
      <c r="F403" t="s">
        <v>1294</v>
      </c>
      <c r="G403" t="s">
        <v>1295</v>
      </c>
      <c r="H403" t="s">
        <v>567</v>
      </c>
      <c r="I403" t="s">
        <v>560</v>
      </c>
      <c r="J403" t="s">
        <v>850</v>
      </c>
      <c r="K403" t="s">
        <v>55</v>
      </c>
      <c r="L403" t="s">
        <v>55</v>
      </c>
      <c r="M403" t="s">
        <v>804</v>
      </c>
    </row>
    <row r="404" spans="1:13" ht="15" customHeight="1" x14ac:dyDescent="0.25">
      <c r="A404" t="s">
        <v>1308</v>
      </c>
      <c r="B404" t="s">
        <v>199</v>
      </c>
      <c r="C404">
        <v>542355</v>
      </c>
      <c r="D404" t="s">
        <v>1296</v>
      </c>
      <c r="E404" t="s">
        <v>1297</v>
      </c>
      <c r="F404" t="s">
        <v>1298</v>
      </c>
      <c r="G404" t="s">
        <v>1299</v>
      </c>
      <c r="H404" t="s">
        <v>911</v>
      </c>
      <c r="I404" t="s">
        <v>560</v>
      </c>
      <c r="J404" t="s">
        <v>609</v>
      </c>
      <c r="K404" t="s">
        <v>55</v>
      </c>
      <c r="L404" t="s">
        <v>55</v>
      </c>
      <c r="M404" t="s">
        <v>1300</v>
      </c>
    </row>
    <row r="405" spans="1:13" ht="15" customHeight="1" x14ac:dyDescent="0.25">
      <c r="A405" t="s">
        <v>1308</v>
      </c>
      <c r="B405" t="s">
        <v>199</v>
      </c>
      <c r="C405">
        <v>542243</v>
      </c>
      <c r="D405" t="s">
        <v>1301</v>
      </c>
      <c r="E405" t="s">
        <v>1302</v>
      </c>
      <c r="F405" t="s">
        <v>1303</v>
      </c>
      <c r="G405" t="s">
        <v>1304</v>
      </c>
      <c r="H405" t="s">
        <v>558</v>
      </c>
      <c r="I405" t="s">
        <v>560</v>
      </c>
      <c r="J405" t="s">
        <v>1305</v>
      </c>
      <c r="K405" t="s">
        <v>55</v>
      </c>
      <c r="L405" t="s">
        <v>55</v>
      </c>
      <c r="M405" t="s">
        <v>964</v>
      </c>
    </row>
    <row r="406" spans="1:13" ht="15" customHeight="1" x14ac:dyDescent="0.25">
      <c r="A406" t="s">
        <v>1309</v>
      </c>
      <c r="B406" t="s">
        <v>293</v>
      </c>
      <c r="C406">
        <v>544068</v>
      </c>
      <c r="D406" t="s">
        <v>1310</v>
      </c>
      <c r="E406" t="s">
        <v>1311</v>
      </c>
      <c r="F406" t="s">
        <v>1312</v>
      </c>
      <c r="G406" t="s">
        <v>1313</v>
      </c>
      <c r="H406" t="s">
        <v>1314</v>
      </c>
      <c r="I406" t="s">
        <v>1314</v>
      </c>
      <c r="J406" t="s">
        <v>770</v>
      </c>
      <c r="K406" t="s">
        <v>55</v>
      </c>
      <c r="L406" t="s">
        <v>55</v>
      </c>
      <c r="M406" t="s">
        <v>1315</v>
      </c>
    </row>
    <row r="407" spans="1:13" ht="15" customHeight="1" x14ac:dyDescent="0.25">
      <c r="A407" t="s">
        <v>1309</v>
      </c>
      <c r="B407" t="s">
        <v>293</v>
      </c>
      <c r="C407">
        <v>544048</v>
      </c>
      <c r="D407" t="s">
        <v>1316</v>
      </c>
      <c r="E407" t="s">
        <v>1149</v>
      </c>
      <c r="F407" t="s">
        <v>1317</v>
      </c>
      <c r="G407" t="s">
        <v>1318</v>
      </c>
      <c r="H407" t="s">
        <v>1319</v>
      </c>
      <c r="I407" t="s">
        <v>1319</v>
      </c>
      <c r="J407" t="s">
        <v>1320</v>
      </c>
      <c r="K407" t="s">
        <v>55</v>
      </c>
      <c r="L407" t="s">
        <v>55</v>
      </c>
      <c r="M407" t="s">
        <v>1315</v>
      </c>
    </row>
    <row r="408" spans="1:13" ht="15" customHeight="1" x14ac:dyDescent="0.25">
      <c r="A408" t="s">
        <v>1321</v>
      </c>
      <c r="B408" t="s">
        <v>289</v>
      </c>
      <c r="C408">
        <v>543528</v>
      </c>
      <c r="D408" t="s">
        <v>1322</v>
      </c>
      <c r="E408" t="s">
        <v>800</v>
      </c>
      <c r="F408" t="s">
        <v>1323</v>
      </c>
      <c r="G408" t="s">
        <v>1324</v>
      </c>
      <c r="H408" t="s">
        <v>849</v>
      </c>
      <c r="I408" t="s">
        <v>1199</v>
      </c>
      <c r="J408" t="s">
        <v>620</v>
      </c>
      <c r="K408" t="s">
        <v>55</v>
      </c>
      <c r="L408" t="s">
        <v>55</v>
      </c>
      <c r="M408" t="s">
        <v>1325</v>
      </c>
    </row>
    <row r="409" spans="1:13" ht="15" customHeight="1" x14ac:dyDescent="0.25">
      <c r="A409" t="s">
        <v>1321</v>
      </c>
      <c r="B409" t="s">
        <v>289</v>
      </c>
      <c r="C409">
        <v>543478</v>
      </c>
      <c r="D409" t="s">
        <v>1326</v>
      </c>
      <c r="E409" t="s">
        <v>1327</v>
      </c>
      <c r="F409" t="s">
        <v>1328</v>
      </c>
      <c r="G409" t="s">
        <v>1329</v>
      </c>
      <c r="H409" t="s">
        <v>1199</v>
      </c>
      <c r="I409" t="s">
        <v>1199</v>
      </c>
      <c r="J409" t="s">
        <v>720</v>
      </c>
      <c r="K409" t="s">
        <v>55</v>
      </c>
      <c r="L409" t="s">
        <v>55</v>
      </c>
      <c r="M409" t="s">
        <v>1330</v>
      </c>
    </row>
    <row r="410" spans="1:13" ht="15" customHeight="1" x14ac:dyDescent="0.25">
      <c r="A410" t="s">
        <v>1321</v>
      </c>
      <c r="B410" t="s">
        <v>289</v>
      </c>
      <c r="C410">
        <v>543479</v>
      </c>
      <c r="D410" t="s">
        <v>1331</v>
      </c>
      <c r="E410" t="s">
        <v>1332</v>
      </c>
      <c r="F410" t="s">
        <v>1333</v>
      </c>
      <c r="G410" t="s">
        <v>1334</v>
      </c>
      <c r="H410" t="s">
        <v>1199</v>
      </c>
      <c r="I410" t="s">
        <v>1199</v>
      </c>
      <c r="J410" t="s">
        <v>1335</v>
      </c>
      <c r="K410" t="s">
        <v>55</v>
      </c>
      <c r="L410" t="s">
        <v>55</v>
      </c>
      <c r="M410" t="s">
        <v>1336</v>
      </c>
    </row>
    <row r="411" spans="1:13" ht="15" customHeight="1" x14ac:dyDescent="0.25">
      <c r="A411" t="s">
        <v>1321</v>
      </c>
      <c r="B411" t="s">
        <v>289</v>
      </c>
      <c r="C411">
        <v>543477</v>
      </c>
      <c r="D411" t="s">
        <v>1337</v>
      </c>
      <c r="E411" t="s">
        <v>1338</v>
      </c>
      <c r="F411" t="s">
        <v>1339</v>
      </c>
      <c r="G411" t="s">
        <v>1340</v>
      </c>
      <c r="H411" t="s">
        <v>1199</v>
      </c>
      <c r="I411" t="s">
        <v>1199</v>
      </c>
      <c r="J411" t="s">
        <v>809</v>
      </c>
      <c r="K411" t="s">
        <v>55</v>
      </c>
      <c r="L411" t="s">
        <v>55</v>
      </c>
      <c r="M411" t="s">
        <v>1341</v>
      </c>
    </row>
    <row r="412" spans="1:13" ht="15" customHeight="1" x14ac:dyDescent="0.25">
      <c r="A412" t="s">
        <v>1321</v>
      </c>
      <c r="B412" t="s">
        <v>289</v>
      </c>
      <c r="C412">
        <v>543688</v>
      </c>
      <c r="D412" t="s">
        <v>1342</v>
      </c>
      <c r="E412" t="s">
        <v>1230</v>
      </c>
      <c r="F412" t="s">
        <v>1343</v>
      </c>
      <c r="G412" t="s">
        <v>1344</v>
      </c>
      <c r="H412" t="s">
        <v>1199</v>
      </c>
      <c r="I412" t="s">
        <v>1199</v>
      </c>
      <c r="J412" t="s">
        <v>859</v>
      </c>
      <c r="K412" t="s">
        <v>55</v>
      </c>
      <c r="L412" t="s">
        <v>55</v>
      </c>
      <c r="M412" t="s">
        <v>1345</v>
      </c>
    </row>
    <row r="413" spans="1:13" ht="15" customHeight="1" x14ac:dyDescent="0.25">
      <c r="A413" t="s">
        <v>1321</v>
      </c>
      <c r="B413" t="s">
        <v>289</v>
      </c>
      <c r="C413">
        <v>543470</v>
      </c>
      <c r="D413" t="s">
        <v>1342</v>
      </c>
      <c r="E413" t="s">
        <v>1346</v>
      </c>
      <c r="F413" t="s">
        <v>1347</v>
      </c>
      <c r="G413" t="s">
        <v>1348</v>
      </c>
      <c r="H413" t="s">
        <v>1199</v>
      </c>
      <c r="I413" t="s">
        <v>1199</v>
      </c>
      <c r="J413" t="s">
        <v>1349</v>
      </c>
      <c r="K413" t="s">
        <v>55</v>
      </c>
      <c r="L413" t="s">
        <v>55</v>
      </c>
      <c r="M413" t="s">
        <v>1350</v>
      </c>
    </row>
    <row r="414" spans="1:13" ht="15" customHeight="1" x14ac:dyDescent="0.25">
      <c r="A414" t="s">
        <v>1321</v>
      </c>
      <c r="B414" t="s">
        <v>289</v>
      </c>
      <c r="C414">
        <v>543448</v>
      </c>
      <c r="D414" t="s">
        <v>1351</v>
      </c>
      <c r="E414" t="s">
        <v>1352</v>
      </c>
      <c r="F414" t="s">
        <v>1353</v>
      </c>
      <c r="G414" t="s">
        <v>1354</v>
      </c>
      <c r="H414" t="s">
        <v>1199</v>
      </c>
      <c r="I414" t="s">
        <v>1199</v>
      </c>
      <c r="J414" t="s">
        <v>615</v>
      </c>
      <c r="K414" t="s">
        <v>55</v>
      </c>
      <c r="L414" t="s">
        <v>55</v>
      </c>
      <c r="M414" t="s">
        <v>1355</v>
      </c>
    </row>
    <row r="415" spans="1:13" ht="15" customHeight="1" x14ac:dyDescent="0.25">
      <c r="A415" t="s">
        <v>1321</v>
      </c>
      <c r="B415" t="s">
        <v>289</v>
      </c>
      <c r="C415">
        <v>543649</v>
      </c>
      <c r="D415" t="s">
        <v>1356</v>
      </c>
      <c r="E415" t="s">
        <v>1357</v>
      </c>
      <c r="F415" t="s">
        <v>1358</v>
      </c>
      <c r="G415" t="s">
        <v>1359</v>
      </c>
      <c r="H415" t="s">
        <v>1199</v>
      </c>
      <c r="I415" t="s">
        <v>1199</v>
      </c>
      <c r="J415" t="s">
        <v>609</v>
      </c>
      <c r="K415" t="s">
        <v>55</v>
      </c>
      <c r="L415" t="s">
        <v>55</v>
      </c>
      <c r="M415" t="s">
        <v>1360</v>
      </c>
    </row>
    <row r="416" spans="1:13" ht="15" customHeight="1" x14ac:dyDescent="0.25">
      <c r="A416" t="s">
        <v>1321</v>
      </c>
      <c r="B416" t="s">
        <v>289</v>
      </c>
      <c r="C416">
        <v>543569</v>
      </c>
      <c r="D416" t="s">
        <v>1361</v>
      </c>
      <c r="E416" t="s">
        <v>1362</v>
      </c>
      <c r="F416" t="s">
        <v>1363</v>
      </c>
      <c r="G416" t="s">
        <v>1364</v>
      </c>
      <c r="H416" t="s">
        <v>1199</v>
      </c>
      <c r="I416" t="s">
        <v>1199</v>
      </c>
      <c r="J416" t="s">
        <v>1365</v>
      </c>
      <c r="K416" t="s">
        <v>55</v>
      </c>
      <c r="L416" t="s">
        <v>55</v>
      </c>
      <c r="M416" t="s">
        <v>1366</v>
      </c>
    </row>
    <row r="417" spans="1:13" ht="15" customHeight="1" x14ac:dyDescent="0.25">
      <c r="A417" t="s">
        <v>1321</v>
      </c>
      <c r="B417" t="s">
        <v>289</v>
      </c>
      <c r="C417">
        <v>543568</v>
      </c>
      <c r="D417" t="s">
        <v>1367</v>
      </c>
      <c r="E417" t="s">
        <v>1368</v>
      </c>
      <c r="F417" t="s">
        <v>1369</v>
      </c>
      <c r="G417" t="s">
        <v>1370</v>
      </c>
      <c r="H417" t="s">
        <v>1199</v>
      </c>
      <c r="I417" t="s">
        <v>1199</v>
      </c>
      <c r="J417" t="s">
        <v>1371</v>
      </c>
      <c r="K417" t="s">
        <v>55</v>
      </c>
      <c r="L417" t="s">
        <v>55</v>
      </c>
      <c r="M417" t="s">
        <v>1372</v>
      </c>
    </row>
    <row r="418" spans="1:13" ht="15" customHeight="1" x14ac:dyDescent="0.25">
      <c r="A418" t="s">
        <v>1321</v>
      </c>
      <c r="B418" t="s">
        <v>289</v>
      </c>
      <c r="C418">
        <v>543474</v>
      </c>
      <c r="D418" t="s">
        <v>1373</v>
      </c>
      <c r="E418" t="s">
        <v>1374</v>
      </c>
      <c r="F418" t="s">
        <v>1375</v>
      </c>
      <c r="G418" t="s">
        <v>1376</v>
      </c>
      <c r="H418" t="s">
        <v>1377</v>
      </c>
      <c r="I418" t="s">
        <v>1377</v>
      </c>
      <c r="J418" t="s">
        <v>922</v>
      </c>
      <c r="K418" t="s">
        <v>55</v>
      </c>
      <c r="L418" t="s">
        <v>55</v>
      </c>
      <c r="M418" t="s">
        <v>1378</v>
      </c>
    </row>
    <row r="419" spans="1:13" ht="15" customHeight="1" x14ac:dyDescent="0.25">
      <c r="A419" t="s">
        <v>1321</v>
      </c>
      <c r="B419" t="s">
        <v>289</v>
      </c>
      <c r="C419">
        <v>543473</v>
      </c>
      <c r="D419" t="s">
        <v>1373</v>
      </c>
      <c r="E419" t="s">
        <v>1379</v>
      </c>
      <c r="F419" t="s">
        <v>1380</v>
      </c>
      <c r="G419" t="s">
        <v>1381</v>
      </c>
      <c r="H419" t="s">
        <v>1377</v>
      </c>
      <c r="I419" t="s">
        <v>1377</v>
      </c>
      <c r="J419" t="s">
        <v>1382</v>
      </c>
      <c r="K419" t="s">
        <v>55</v>
      </c>
      <c r="L419" t="s">
        <v>55</v>
      </c>
      <c r="M419" t="s">
        <v>1383</v>
      </c>
    </row>
    <row r="420" spans="1:13" ht="15" customHeight="1" x14ac:dyDescent="0.25">
      <c r="A420" t="s">
        <v>1321</v>
      </c>
      <c r="B420" t="s">
        <v>289</v>
      </c>
      <c r="C420">
        <v>543481</v>
      </c>
      <c r="D420" t="s">
        <v>1384</v>
      </c>
      <c r="E420" t="s">
        <v>1385</v>
      </c>
      <c r="F420" t="s">
        <v>1386</v>
      </c>
      <c r="G420" t="s">
        <v>1387</v>
      </c>
      <c r="H420" t="s">
        <v>1199</v>
      </c>
      <c r="I420" t="s">
        <v>1199</v>
      </c>
      <c r="J420" t="s">
        <v>1388</v>
      </c>
      <c r="K420" t="s">
        <v>55</v>
      </c>
      <c r="L420" t="s">
        <v>55</v>
      </c>
      <c r="M420" t="s">
        <v>1389</v>
      </c>
    </row>
    <row r="421" spans="1:13" ht="15" customHeight="1" x14ac:dyDescent="0.25">
      <c r="A421" t="s">
        <v>1321</v>
      </c>
      <c r="B421" t="s">
        <v>289</v>
      </c>
      <c r="C421">
        <v>543475</v>
      </c>
      <c r="D421" t="s">
        <v>1390</v>
      </c>
      <c r="E421" t="s">
        <v>1391</v>
      </c>
      <c r="F421" t="s">
        <v>1392</v>
      </c>
      <c r="G421" t="s">
        <v>1393</v>
      </c>
      <c r="H421" t="s">
        <v>1199</v>
      </c>
      <c r="I421" t="s">
        <v>1199</v>
      </c>
      <c r="J421" t="s">
        <v>1263</v>
      </c>
      <c r="K421" t="s">
        <v>55</v>
      </c>
      <c r="L421" t="s">
        <v>55</v>
      </c>
      <c r="M421" t="s">
        <v>1394</v>
      </c>
    </row>
    <row r="422" spans="1:13" ht="15" customHeight="1" x14ac:dyDescent="0.25">
      <c r="A422" t="s">
        <v>1321</v>
      </c>
      <c r="B422" t="s">
        <v>289</v>
      </c>
      <c r="C422">
        <v>543471</v>
      </c>
      <c r="D422" t="s">
        <v>1395</v>
      </c>
      <c r="E422" t="s">
        <v>1396</v>
      </c>
      <c r="F422" t="s">
        <v>1397</v>
      </c>
      <c r="G422" t="s">
        <v>1398</v>
      </c>
      <c r="H422" t="s">
        <v>1199</v>
      </c>
      <c r="I422" t="s">
        <v>1199</v>
      </c>
      <c r="J422" t="s">
        <v>603</v>
      </c>
      <c r="K422" t="s">
        <v>55</v>
      </c>
      <c r="L422" t="s">
        <v>55</v>
      </c>
      <c r="M422" t="s">
        <v>1372</v>
      </c>
    </row>
    <row r="423" spans="1:13" ht="15" customHeight="1" x14ac:dyDescent="0.25">
      <c r="A423" t="s">
        <v>1321</v>
      </c>
      <c r="B423" t="s">
        <v>289</v>
      </c>
      <c r="C423">
        <v>543480</v>
      </c>
      <c r="D423" t="s">
        <v>1399</v>
      </c>
      <c r="E423" t="s">
        <v>1400</v>
      </c>
      <c r="F423" t="s">
        <v>1401</v>
      </c>
      <c r="G423" t="s">
        <v>1402</v>
      </c>
      <c r="H423" t="s">
        <v>1199</v>
      </c>
      <c r="I423" t="s">
        <v>1199</v>
      </c>
      <c r="J423" t="s">
        <v>1305</v>
      </c>
      <c r="K423" t="s">
        <v>55</v>
      </c>
      <c r="L423" t="s">
        <v>55</v>
      </c>
      <c r="M423" t="s">
        <v>1403</v>
      </c>
    </row>
    <row r="424" spans="1:13" ht="15" customHeight="1" x14ac:dyDescent="0.25">
      <c r="A424" t="s">
        <v>1321</v>
      </c>
      <c r="B424" t="s">
        <v>289</v>
      </c>
      <c r="C424">
        <v>543472</v>
      </c>
      <c r="D424" t="s">
        <v>1404</v>
      </c>
      <c r="E424" t="s">
        <v>1405</v>
      </c>
      <c r="F424" t="s">
        <v>1406</v>
      </c>
      <c r="G424" t="s">
        <v>1407</v>
      </c>
      <c r="H424" t="s">
        <v>1278</v>
      </c>
      <c r="I424" t="s">
        <v>1278</v>
      </c>
      <c r="J424" t="s">
        <v>609</v>
      </c>
      <c r="K424" t="s">
        <v>55</v>
      </c>
      <c r="L424" t="s">
        <v>55</v>
      </c>
      <c r="M424" t="s">
        <v>1408</v>
      </c>
    </row>
    <row r="425" spans="1:13" ht="15" customHeight="1" x14ac:dyDescent="0.25">
      <c r="A425" t="s">
        <v>1321</v>
      </c>
      <c r="B425" t="s">
        <v>289</v>
      </c>
      <c r="C425">
        <v>543469</v>
      </c>
      <c r="D425" t="s">
        <v>1409</v>
      </c>
      <c r="E425" t="s">
        <v>1410</v>
      </c>
      <c r="F425" t="s">
        <v>1411</v>
      </c>
      <c r="G425" t="s">
        <v>1412</v>
      </c>
      <c r="H425" t="s">
        <v>1199</v>
      </c>
      <c r="I425" t="s">
        <v>1199</v>
      </c>
      <c r="J425" t="s">
        <v>626</v>
      </c>
      <c r="K425" t="s">
        <v>55</v>
      </c>
      <c r="L425" t="s">
        <v>55</v>
      </c>
      <c r="M425" t="s">
        <v>1389</v>
      </c>
    </row>
    <row r="426" spans="1:13" ht="15" customHeight="1" x14ac:dyDescent="0.25">
      <c r="A426" t="s">
        <v>1321</v>
      </c>
      <c r="B426" t="s">
        <v>289</v>
      </c>
      <c r="C426">
        <v>543482</v>
      </c>
      <c r="D426" t="s">
        <v>1413</v>
      </c>
      <c r="E426" t="s">
        <v>1414</v>
      </c>
      <c r="F426" t="s">
        <v>1415</v>
      </c>
      <c r="G426" t="s">
        <v>1416</v>
      </c>
      <c r="H426" t="s">
        <v>1199</v>
      </c>
      <c r="I426" t="s">
        <v>1199</v>
      </c>
      <c r="J426" t="s">
        <v>631</v>
      </c>
      <c r="K426" t="s">
        <v>55</v>
      </c>
      <c r="L426" t="s">
        <v>55</v>
      </c>
      <c r="M426" t="s">
        <v>1417</v>
      </c>
    </row>
    <row r="427" spans="1:13" ht="15" customHeight="1" x14ac:dyDescent="0.25">
      <c r="A427" t="s">
        <v>1418</v>
      </c>
      <c r="B427" t="s">
        <v>289</v>
      </c>
      <c r="C427">
        <v>543528</v>
      </c>
      <c r="D427" t="s">
        <v>1322</v>
      </c>
      <c r="E427" t="s">
        <v>800</v>
      </c>
      <c r="F427" t="s">
        <v>1323</v>
      </c>
      <c r="G427" t="s">
        <v>1324</v>
      </c>
      <c r="H427" t="s">
        <v>849</v>
      </c>
      <c r="I427" t="s">
        <v>1199</v>
      </c>
      <c r="J427" t="s">
        <v>620</v>
      </c>
      <c r="K427" t="s">
        <v>55</v>
      </c>
      <c r="L427" t="s">
        <v>55</v>
      </c>
      <c r="M427" t="s">
        <v>1325</v>
      </c>
    </row>
    <row r="428" spans="1:13" ht="15" customHeight="1" x14ac:dyDescent="0.25">
      <c r="A428" t="s">
        <v>1418</v>
      </c>
      <c r="B428" t="s">
        <v>289</v>
      </c>
      <c r="C428">
        <v>543478</v>
      </c>
      <c r="D428" t="s">
        <v>1326</v>
      </c>
      <c r="E428" t="s">
        <v>1327</v>
      </c>
      <c r="F428" t="s">
        <v>1328</v>
      </c>
      <c r="G428" t="s">
        <v>1329</v>
      </c>
      <c r="H428" t="s">
        <v>1199</v>
      </c>
      <c r="I428" t="s">
        <v>1199</v>
      </c>
      <c r="J428" t="s">
        <v>720</v>
      </c>
      <c r="K428" t="s">
        <v>55</v>
      </c>
      <c r="L428" t="s">
        <v>55</v>
      </c>
      <c r="M428" t="s">
        <v>1330</v>
      </c>
    </row>
    <row r="429" spans="1:13" ht="15" customHeight="1" x14ac:dyDescent="0.25">
      <c r="A429" t="s">
        <v>1418</v>
      </c>
      <c r="B429" t="s">
        <v>289</v>
      </c>
      <c r="C429">
        <v>543479</v>
      </c>
      <c r="D429" t="s">
        <v>1331</v>
      </c>
      <c r="E429" t="s">
        <v>1332</v>
      </c>
      <c r="F429" t="s">
        <v>1333</v>
      </c>
      <c r="G429" t="s">
        <v>1334</v>
      </c>
      <c r="H429" t="s">
        <v>1199</v>
      </c>
      <c r="I429" t="s">
        <v>1199</v>
      </c>
      <c r="J429" t="s">
        <v>1335</v>
      </c>
      <c r="K429" t="s">
        <v>55</v>
      </c>
      <c r="L429" t="s">
        <v>55</v>
      </c>
      <c r="M429" t="s">
        <v>1419</v>
      </c>
    </row>
    <row r="430" spans="1:13" ht="15" customHeight="1" x14ac:dyDescent="0.25">
      <c r="A430" t="s">
        <v>1418</v>
      </c>
      <c r="B430" t="s">
        <v>289</v>
      </c>
      <c r="C430">
        <v>543477</v>
      </c>
      <c r="D430" t="s">
        <v>1337</v>
      </c>
      <c r="E430" t="s">
        <v>1338</v>
      </c>
      <c r="F430" t="s">
        <v>1339</v>
      </c>
      <c r="G430" t="s">
        <v>1340</v>
      </c>
      <c r="H430" t="s">
        <v>1199</v>
      </c>
      <c r="I430" t="s">
        <v>1199</v>
      </c>
      <c r="J430" t="s">
        <v>809</v>
      </c>
      <c r="K430" t="s">
        <v>55</v>
      </c>
      <c r="L430" t="s">
        <v>55</v>
      </c>
      <c r="M430" t="s">
        <v>1420</v>
      </c>
    </row>
    <row r="431" spans="1:13" ht="15" customHeight="1" x14ac:dyDescent="0.25">
      <c r="A431" t="s">
        <v>1418</v>
      </c>
      <c r="B431" t="s">
        <v>289</v>
      </c>
      <c r="C431">
        <v>543688</v>
      </c>
      <c r="D431" t="s">
        <v>1342</v>
      </c>
      <c r="E431" t="s">
        <v>1230</v>
      </c>
      <c r="F431" t="s">
        <v>1343</v>
      </c>
      <c r="G431" t="s">
        <v>1344</v>
      </c>
      <c r="H431" t="s">
        <v>1199</v>
      </c>
      <c r="I431" t="s">
        <v>1199</v>
      </c>
      <c r="J431" t="s">
        <v>859</v>
      </c>
      <c r="K431" t="s">
        <v>55</v>
      </c>
      <c r="L431" t="s">
        <v>55</v>
      </c>
      <c r="M431" t="s">
        <v>1345</v>
      </c>
    </row>
    <row r="432" spans="1:13" ht="15" customHeight="1" x14ac:dyDescent="0.25">
      <c r="A432" t="s">
        <v>1418</v>
      </c>
      <c r="B432" t="s">
        <v>289</v>
      </c>
      <c r="C432">
        <v>543470</v>
      </c>
      <c r="D432" t="s">
        <v>1342</v>
      </c>
      <c r="E432" t="s">
        <v>1346</v>
      </c>
      <c r="F432" t="s">
        <v>1347</v>
      </c>
      <c r="G432" t="s">
        <v>1348</v>
      </c>
      <c r="H432" t="s">
        <v>1199</v>
      </c>
      <c r="I432" t="s">
        <v>1199</v>
      </c>
      <c r="J432" t="s">
        <v>1349</v>
      </c>
      <c r="K432" t="s">
        <v>55</v>
      </c>
      <c r="L432" t="s">
        <v>55</v>
      </c>
      <c r="M432" t="s">
        <v>1350</v>
      </c>
    </row>
    <row r="433" spans="1:13" ht="15" customHeight="1" x14ac:dyDescent="0.25">
      <c r="A433" t="s">
        <v>1418</v>
      </c>
      <c r="B433" t="s">
        <v>289</v>
      </c>
      <c r="C433">
        <v>543649</v>
      </c>
      <c r="D433" t="s">
        <v>1356</v>
      </c>
      <c r="E433" t="s">
        <v>1357</v>
      </c>
      <c r="F433" t="s">
        <v>1358</v>
      </c>
      <c r="G433" t="s">
        <v>1359</v>
      </c>
      <c r="H433" t="s">
        <v>1199</v>
      </c>
      <c r="I433" t="s">
        <v>1199</v>
      </c>
      <c r="J433" t="s">
        <v>609</v>
      </c>
      <c r="K433" t="s">
        <v>55</v>
      </c>
      <c r="L433" t="s">
        <v>55</v>
      </c>
      <c r="M433" t="s">
        <v>1360</v>
      </c>
    </row>
    <row r="434" spans="1:13" ht="15" customHeight="1" x14ac:dyDescent="0.25">
      <c r="A434" t="s">
        <v>1418</v>
      </c>
      <c r="B434" t="s">
        <v>289</v>
      </c>
      <c r="C434">
        <v>543569</v>
      </c>
      <c r="D434" t="s">
        <v>1361</v>
      </c>
      <c r="E434" t="s">
        <v>1362</v>
      </c>
      <c r="F434" t="s">
        <v>1363</v>
      </c>
      <c r="G434" t="s">
        <v>1364</v>
      </c>
      <c r="H434" t="s">
        <v>1199</v>
      </c>
      <c r="I434" t="s">
        <v>1199</v>
      </c>
      <c r="J434" t="s">
        <v>1365</v>
      </c>
      <c r="K434" t="s">
        <v>55</v>
      </c>
      <c r="L434" t="s">
        <v>55</v>
      </c>
      <c r="M434" t="s">
        <v>1366</v>
      </c>
    </row>
    <row r="435" spans="1:13" ht="15" customHeight="1" x14ac:dyDescent="0.25">
      <c r="A435" t="s">
        <v>1418</v>
      </c>
      <c r="B435" t="s">
        <v>289</v>
      </c>
      <c r="C435">
        <v>543568</v>
      </c>
      <c r="D435" t="s">
        <v>1367</v>
      </c>
      <c r="E435" t="s">
        <v>1368</v>
      </c>
      <c r="F435" t="s">
        <v>1369</v>
      </c>
      <c r="G435" t="s">
        <v>1370</v>
      </c>
      <c r="H435" t="s">
        <v>1199</v>
      </c>
      <c r="I435" t="s">
        <v>1199</v>
      </c>
      <c r="J435" t="s">
        <v>1371</v>
      </c>
      <c r="K435" t="s">
        <v>55</v>
      </c>
      <c r="L435" t="s">
        <v>55</v>
      </c>
      <c r="M435" t="s">
        <v>1372</v>
      </c>
    </row>
    <row r="436" spans="1:13" ht="15" customHeight="1" x14ac:dyDescent="0.25">
      <c r="A436" t="s">
        <v>1418</v>
      </c>
      <c r="B436" t="s">
        <v>289</v>
      </c>
      <c r="C436">
        <v>543474</v>
      </c>
      <c r="D436" t="s">
        <v>1373</v>
      </c>
      <c r="E436" t="s">
        <v>1374</v>
      </c>
      <c r="F436" t="s">
        <v>1375</v>
      </c>
      <c r="G436" t="s">
        <v>1376</v>
      </c>
      <c r="H436" t="s">
        <v>1377</v>
      </c>
      <c r="I436" t="s">
        <v>1377</v>
      </c>
      <c r="J436" t="s">
        <v>922</v>
      </c>
      <c r="K436" t="s">
        <v>55</v>
      </c>
      <c r="L436" t="s">
        <v>55</v>
      </c>
      <c r="M436" t="s">
        <v>1421</v>
      </c>
    </row>
    <row r="437" spans="1:13" ht="15" customHeight="1" x14ac:dyDescent="0.25">
      <c r="A437" t="s">
        <v>1418</v>
      </c>
      <c r="B437" t="s">
        <v>289</v>
      </c>
      <c r="C437">
        <v>543473</v>
      </c>
      <c r="D437" t="s">
        <v>1373</v>
      </c>
      <c r="E437" t="s">
        <v>1379</v>
      </c>
      <c r="F437" t="s">
        <v>1380</v>
      </c>
      <c r="G437" t="s">
        <v>1381</v>
      </c>
      <c r="H437" t="s">
        <v>1377</v>
      </c>
      <c r="I437" t="s">
        <v>1377</v>
      </c>
      <c r="J437" t="s">
        <v>1382</v>
      </c>
      <c r="K437" t="s">
        <v>55</v>
      </c>
      <c r="L437" t="s">
        <v>55</v>
      </c>
      <c r="M437" t="s">
        <v>1408</v>
      </c>
    </row>
    <row r="438" spans="1:13" ht="15" customHeight="1" x14ac:dyDescent="0.25">
      <c r="A438" t="s">
        <v>1418</v>
      </c>
      <c r="B438" t="s">
        <v>289</v>
      </c>
      <c r="C438">
        <v>543481</v>
      </c>
      <c r="D438" t="s">
        <v>1384</v>
      </c>
      <c r="E438" t="s">
        <v>1385</v>
      </c>
      <c r="F438" t="s">
        <v>1386</v>
      </c>
      <c r="G438" t="s">
        <v>1387</v>
      </c>
      <c r="H438" t="s">
        <v>1199</v>
      </c>
      <c r="I438" t="s">
        <v>1199</v>
      </c>
      <c r="J438" t="s">
        <v>1388</v>
      </c>
      <c r="K438" t="s">
        <v>55</v>
      </c>
      <c r="L438" t="s">
        <v>55</v>
      </c>
      <c r="M438" t="s">
        <v>1403</v>
      </c>
    </row>
    <row r="439" spans="1:13" ht="15" customHeight="1" x14ac:dyDescent="0.25">
      <c r="A439" t="s">
        <v>1418</v>
      </c>
      <c r="B439" t="s">
        <v>289</v>
      </c>
      <c r="C439">
        <v>543475</v>
      </c>
      <c r="D439" t="s">
        <v>1390</v>
      </c>
      <c r="E439" t="s">
        <v>1391</v>
      </c>
      <c r="F439" t="s">
        <v>1392</v>
      </c>
      <c r="G439" t="s">
        <v>1393</v>
      </c>
      <c r="H439" t="s">
        <v>1199</v>
      </c>
      <c r="I439" t="s">
        <v>1199</v>
      </c>
      <c r="J439" t="s">
        <v>1263</v>
      </c>
      <c r="K439" t="s">
        <v>55</v>
      </c>
      <c r="L439" t="s">
        <v>55</v>
      </c>
      <c r="M439" t="s">
        <v>1394</v>
      </c>
    </row>
    <row r="440" spans="1:13" ht="15" customHeight="1" x14ac:dyDescent="0.25">
      <c r="A440" t="s">
        <v>1418</v>
      </c>
      <c r="B440" t="s">
        <v>289</v>
      </c>
      <c r="C440">
        <v>543480</v>
      </c>
      <c r="D440" t="s">
        <v>1399</v>
      </c>
      <c r="E440" t="s">
        <v>1400</v>
      </c>
      <c r="F440" t="s">
        <v>1401</v>
      </c>
      <c r="G440" t="s">
        <v>1402</v>
      </c>
      <c r="H440" t="s">
        <v>1199</v>
      </c>
      <c r="I440" t="s">
        <v>1199</v>
      </c>
      <c r="J440" t="s">
        <v>1305</v>
      </c>
      <c r="K440" t="s">
        <v>55</v>
      </c>
      <c r="L440" t="s">
        <v>55</v>
      </c>
      <c r="M440" t="s">
        <v>1403</v>
      </c>
    </row>
    <row r="441" spans="1:13" ht="15" customHeight="1" x14ac:dyDescent="0.25">
      <c r="A441" t="s">
        <v>1418</v>
      </c>
      <c r="B441" t="s">
        <v>289</v>
      </c>
      <c r="C441">
        <v>543472</v>
      </c>
      <c r="D441" t="s">
        <v>1404</v>
      </c>
      <c r="E441" t="s">
        <v>1405</v>
      </c>
      <c r="F441" t="s">
        <v>1406</v>
      </c>
      <c r="G441" t="s">
        <v>1407</v>
      </c>
      <c r="H441" t="s">
        <v>1278</v>
      </c>
      <c r="I441" t="s">
        <v>1278</v>
      </c>
      <c r="J441" t="s">
        <v>609</v>
      </c>
      <c r="K441" t="s">
        <v>55</v>
      </c>
      <c r="L441" t="s">
        <v>55</v>
      </c>
      <c r="M441" t="s">
        <v>1408</v>
      </c>
    </row>
    <row r="442" spans="1:13" ht="15" customHeight="1" x14ac:dyDescent="0.25">
      <c r="A442" t="s">
        <v>1418</v>
      </c>
      <c r="B442" t="s">
        <v>289</v>
      </c>
      <c r="C442">
        <v>543469</v>
      </c>
      <c r="D442" t="s">
        <v>1409</v>
      </c>
      <c r="E442" t="s">
        <v>1410</v>
      </c>
      <c r="F442" t="s">
        <v>1411</v>
      </c>
      <c r="G442" t="s">
        <v>1412</v>
      </c>
      <c r="H442" t="s">
        <v>1199</v>
      </c>
      <c r="I442" t="s">
        <v>1199</v>
      </c>
      <c r="J442" t="s">
        <v>626</v>
      </c>
      <c r="K442" t="s">
        <v>55</v>
      </c>
      <c r="L442" t="s">
        <v>55</v>
      </c>
      <c r="M442" t="s">
        <v>1403</v>
      </c>
    </row>
    <row r="443" spans="1:13" ht="15" customHeight="1" x14ac:dyDescent="0.25">
      <c r="A443" t="s">
        <v>1418</v>
      </c>
      <c r="B443" t="s">
        <v>289</v>
      </c>
      <c r="C443">
        <v>543482</v>
      </c>
      <c r="D443" t="s">
        <v>1413</v>
      </c>
      <c r="E443" t="s">
        <v>1414</v>
      </c>
      <c r="F443" t="s">
        <v>1415</v>
      </c>
      <c r="G443" t="s">
        <v>1416</v>
      </c>
      <c r="H443" t="s">
        <v>1199</v>
      </c>
      <c r="I443" t="s">
        <v>1199</v>
      </c>
      <c r="J443" t="s">
        <v>631</v>
      </c>
      <c r="K443" t="s">
        <v>55</v>
      </c>
      <c r="L443" t="s">
        <v>55</v>
      </c>
      <c r="M443" t="s">
        <v>1422</v>
      </c>
    </row>
    <row r="444" spans="1:13" ht="15" customHeight="1" x14ac:dyDescent="0.25">
      <c r="A444" t="s">
        <v>1423</v>
      </c>
      <c r="B444" t="s">
        <v>327</v>
      </c>
      <c r="C444">
        <v>544069</v>
      </c>
      <c r="D444" t="s">
        <v>1424</v>
      </c>
      <c r="E444" t="s">
        <v>1425</v>
      </c>
      <c r="F444" t="s">
        <v>1426</v>
      </c>
      <c r="G444" t="s">
        <v>1427</v>
      </c>
      <c r="H444" t="s">
        <v>1199</v>
      </c>
      <c r="I444" t="s">
        <v>1428</v>
      </c>
      <c r="J444" t="s">
        <v>770</v>
      </c>
      <c r="K444" t="s">
        <v>55</v>
      </c>
      <c r="L444" t="s">
        <v>55</v>
      </c>
      <c r="M444" t="s">
        <v>1429</v>
      </c>
    </row>
    <row r="445" spans="1:13" ht="15" customHeight="1" x14ac:dyDescent="0.25">
      <c r="A445" t="s">
        <v>1423</v>
      </c>
      <c r="B445" t="s">
        <v>327</v>
      </c>
      <c r="C445">
        <v>544090</v>
      </c>
      <c r="D445" t="s">
        <v>1430</v>
      </c>
      <c r="E445" t="s">
        <v>1431</v>
      </c>
      <c r="F445" t="s">
        <v>1432</v>
      </c>
      <c r="G445" t="s">
        <v>1433</v>
      </c>
      <c r="H445" t="s">
        <v>999</v>
      </c>
      <c r="I445" t="s">
        <v>1428</v>
      </c>
      <c r="J445" t="s">
        <v>1305</v>
      </c>
      <c r="K445" t="s">
        <v>55</v>
      </c>
      <c r="L445" t="s">
        <v>55</v>
      </c>
      <c r="M445" t="s">
        <v>1434</v>
      </c>
    </row>
    <row r="446" spans="1:13" ht="15" customHeight="1" x14ac:dyDescent="0.25">
      <c r="A446" t="s">
        <v>1423</v>
      </c>
      <c r="B446" t="s">
        <v>327</v>
      </c>
      <c r="C446">
        <v>543655</v>
      </c>
      <c r="D446" t="s">
        <v>1435</v>
      </c>
      <c r="E446" t="s">
        <v>1436</v>
      </c>
      <c r="F446" t="s">
        <v>1437</v>
      </c>
      <c r="G446" t="s">
        <v>1438</v>
      </c>
      <c r="H446" t="s">
        <v>1008</v>
      </c>
      <c r="I446" t="s">
        <v>1428</v>
      </c>
      <c r="J446" t="s">
        <v>809</v>
      </c>
      <c r="K446" t="s">
        <v>55</v>
      </c>
      <c r="L446" t="s">
        <v>55</v>
      </c>
      <c r="M446" t="s">
        <v>1439</v>
      </c>
    </row>
    <row r="447" spans="1:13" ht="15" customHeight="1" x14ac:dyDescent="0.25">
      <c r="A447" t="s">
        <v>1423</v>
      </c>
      <c r="B447" t="s">
        <v>327</v>
      </c>
      <c r="C447">
        <v>543710</v>
      </c>
      <c r="D447" t="s">
        <v>1440</v>
      </c>
      <c r="E447" t="s">
        <v>1441</v>
      </c>
      <c r="F447" t="s">
        <v>1442</v>
      </c>
      <c r="G447" t="s">
        <v>1443</v>
      </c>
      <c r="H447" t="s">
        <v>999</v>
      </c>
      <c r="I447" t="s">
        <v>1428</v>
      </c>
      <c r="J447" t="s">
        <v>609</v>
      </c>
      <c r="K447" t="s">
        <v>55</v>
      </c>
      <c r="L447" t="s">
        <v>55</v>
      </c>
      <c r="M447" t="s">
        <v>1444</v>
      </c>
    </row>
    <row r="448" spans="1:13" ht="15" customHeight="1" x14ac:dyDescent="0.25">
      <c r="A448" t="s">
        <v>1423</v>
      </c>
      <c r="B448" t="s">
        <v>327</v>
      </c>
      <c r="C448">
        <v>543503</v>
      </c>
      <c r="D448" t="s">
        <v>1445</v>
      </c>
      <c r="E448" t="s">
        <v>683</v>
      </c>
      <c r="F448" t="s">
        <v>1446</v>
      </c>
      <c r="G448" t="s">
        <v>1447</v>
      </c>
      <c r="H448" t="s">
        <v>999</v>
      </c>
      <c r="I448" t="s">
        <v>1428</v>
      </c>
      <c r="J448" t="s">
        <v>715</v>
      </c>
      <c r="K448" t="s">
        <v>55</v>
      </c>
      <c r="L448" t="s">
        <v>55</v>
      </c>
      <c r="M448" t="s">
        <v>1448</v>
      </c>
    </row>
    <row r="449" spans="1:13" ht="15" customHeight="1" x14ac:dyDescent="0.25">
      <c r="A449" t="s">
        <v>1423</v>
      </c>
      <c r="B449" t="s">
        <v>327</v>
      </c>
      <c r="C449">
        <v>543599</v>
      </c>
      <c r="D449" t="s">
        <v>1449</v>
      </c>
      <c r="E449" t="s">
        <v>1450</v>
      </c>
      <c r="F449" t="s">
        <v>1451</v>
      </c>
      <c r="G449" t="s">
        <v>1452</v>
      </c>
      <c r="H449" t="s">
        <v>999</v>
      </c>
      <c r="I449" t="s">
        <v>1428</v>
      </c>
      <c r="J449" t="s">
        <v>777</v>
      </c>
      <c r="K449" t="s">
        <v>55</v>
      </c>
      <c r="L449" t="s">
        <v>55</v>
      </c>
      <c r="M449" t="s">
        <v>1453</v>
      </c>
    </row>
    <row r="450" spans="1:13" ht="15" customHeight="1" x14ac:dyDescent="0.25">
      <c r="A450" t="s">
        <v>1423</v>
      </c>
      <c r="B450" t="s">
        <v>327</v>
      </c>
      <c r="C450">
        <v>543601</v>
      </c>
      <c r="D450" t="s">
        <v>1331</v>
      </c>
      <c r="E450" t="s">
        <v>1332</v>
      </c>
      <c r="F450" t="s">
        <v>1333</v>
      </c>
      <c r="G450" t="s">
        <v>1334</v>
      </c>
      <c r="H450" t="s">
        <v>1199</v>
      </c>
      <c r="I450" t="s">
        <v>1428</v>
      </c>
      <c r="J450" t="s">
        <v>1335</v>
      </c>
      <c r="K450" t="s">
        <v>55</v>
      </c>
      <c r="L450" t="s">
        <v>55</v>
      </c>
      <c r="M450" t="s">
        <v>1454</v>
      </c>
    </row>
    <row r="451" spans="1:13" ht="15" customHeight="1" x14ac:dyDescent="0.25">
      <c r="A451" t="s">
        <v>1423</v>
      </c>
      <c r="B451" t="s">
        <v>327</v>
      </c>
      <c r="C451">
        <v>543502</v>
      </c>
      <c r="D451" t="s">
        <v>1455</v>
      </c>
      <c r="E451" t="s">
        <v>60</v>
      </c>
      <c r="F451" t="s">
        <v>1456</v>
      </c>
      <c r="G451" t="s">
        <v>1457</v>
      </c>
      <c r="H451" t="s">
        <v>999</v>
      </c>
      <c r="I451" t="s">
        <v>1428</v>
      </c>
      <c r="J451" t="s">
        <v>1458</v>
      </c>
      <c r="K451" t="s">
        <v>55</v>
      </c>
      <c r="L451" t="s">
        <v>55</v>
      </c>
      <c r="M451" t="s">
        <v>1459</v>
      </c>
    </row>
    <row r="452" spans="1:13" ht="15" customHeight="1" x14ac:dyDescent="0.25">
      <c r="A452" t="s">
        <v>1423</v>
      </c>
      <c r="B452" t="s">
        <v>327</v>
      </c>
      <c r="C452">
        <v>543659</v>
      </c>
      <c r="D452" t="s">
        <v>1460</v>
      </c>
      <c r="E452" t="s">
        <v>1461</v>
      </c>
      <c r="F452" t="s">
        <v>1462</v>
      </c>
      <c r="G452" t="s">
        <v>1463</v>
      </c>
      <c r="H452" t="s">
        <v>1464</v>
      </c>
      <c r="I452" t="s">
        <v>1428</v>
      </c>
      <c r="J452" t="s">
        <v>660</v>
      </c>
      <c r="K452" t="s">
        <v>55</v>
      </c>
      <c r="L452" t="s">
        <v>55</v>
      </c>
      <c r="M452" t="s">
        <v>1465</v>
      </c>
    </row>
    <row r="453" spans="1:13" ht="15" customHeight="1" x14ac:dyDescent="0.25">
      <c r="A453" t="s">
        <v>1423</v>
      </c>
      <c r="B453" t="s">
        <v>327</v>
      </c>
      <c r="C453">
        <v>544091</v>
      </c>
      <c r="D453" t="s">
        <v>1466</v>
      </c>
      <c r="E453" t="s">
        <v>1467</v>
      </c>
      <c r="F453" t="s">
        <v>1468</v>
      </c>
      <c r="G453" t="s">
        <v>1469</v>
      </c>
      <c r="H453" t="s">
        <v>1464</v>
      </c>
      <c r="I453" t="s">
        <v>1428</v>
      </c>
      <c r="J453" t="s">
        <v>620</v>
      </c>
      <c r="K453" t="s">
        <v>55</v>
      </c>
      <c r="L453" t="s">
        <v>55</v>
      </c>
      <c r="M453" t="s">
        <v>1470</v>
      </c>
    </row>
    <row r="454" spans="1:13" ht="15" customHeight="1" x14ac:dyDescent="0.25">
      <c r="A454" t="s">
        <v>1423</v>
      </c>
      <c r="B454" t="s">
        <v>327</v>
      </c>
      <c r="C454">
        <v>543509</v>
      </c>
      <c r="D454" t="s">
        <v>1471</v>
      </c>
      <c r="E454" t="s">
        <v>1472</v>
      </c>
      <c r="F454" t="s">
        <v>1473</v>
      </c>
      <c r="G454" t="s">
        <v>1474</v>
      </c>
      <c r="H454" t="s">
        <v>1475</v>
      </c>
      <c r="I454" t="s">
        <v>1428</v>
      </c>
      <c r="J454" t="s">
        <v>1263</v>
      </c>
      <c r="K454" t="s">
        <v>55</v>
      </c>
      <c r="L454" t="s">
        <v>55</v>
      </c>
      <c r="M454" t="s">
        <v>1476</v>
      </c>
    </row>
    <row r="455" spans="1:13" ht="15" customHeight="1" x14ac:dyDescent="0.25">
      <c r="A455" t="s">
        <v>1423</v>
      </c>
      <c r="B455" t="s">
        <v>327</v>
      </c>
      <c r="C455">
        <v>543711</v>
      </c>
      <c r="D455" t="s">
        <v>1477</v>
      </c>
      <c r="E455" t="s">
        <v>1478</v>
      </c>
      <c r="F455" t="s">
        <v>1479</v>
      </c>
      <c r="G455" t="s">
        <v>1480</v>
      </c>
      <c r="H455" t="s">
        <v>1481</v>
      </c>
      <c r="I455" t="s">
        <v>1428</v>
      </c>
      <c r="J455" t="s">
        <v>631</v>
      </c>
      <c r="K455" t="s">
        <v>55</v>
      </c>
      <c r="L455" t="s">
        <v>55</v>
      </c>
      <c r="M455" t="s">
        <v>1482</v>
      </c>
    </row>
    <row r="456" spans="1:13" ht="15" customHeight="1" x14ac:dyDescent="0.25">
      <c r="A456" t="s">
        <v>1423</v>
      </c>
      <c r="B456" t="s">
        <v>327</v>
      </c>
      <c r="C456">
        <v>543499</v>
      </c>
      <c r="D456" t="s">
        <v>1483</v>
      </c>
      <c r="E456" t="s">
        <v>1484</v>
      </c>
      <c r="F456" t="s">
        <v>1485</v>
      </c>
      <c r="G456" t="s">
        <v>1486</v>
      </c>
      <c r="H456" t="s">
        <v>1464</v>
      </c>
      <c r="I456" t="s">
        <v>1428</v>
      </c>
      <c r="J456" t="s">
        <v>751</v>
      </c>
      <c r="K456" t="s">
        <v>55</v>
      </c>
      <c r="L456" t="s">
        <v>55</v>
      </c>
      <c r="M456" t="s">
        <v>1487</v>
      </c>
    </row>
    <row r="457" spans="1:13" ht="15" customHeight="1" x14ac:dyDescent="0.25">
      <c r="A457" t="s">
        <v>1423</v>
      </c>
      <c r="B457" t="s">
        <v>327</v>
      </c>
      <c r="C457">
        <v>543507</v>
      </c>
      <c r="D457" t="s">
        <v>1342</v>
      </c>
      <c r="E457" t="s">
        <v>1346</v>
      </c>
      <c r="F457" t="s">
        <v>1347</v>
      </c>
      <c r="G457" t="s">
        <v>1348</v>
      </c>
      <c r="H457" t="s">
        <v>1199</v>
      </c>
      <c r="I457" t="s">
        <v>1428</v>
      </c>
      <c r="J457" t="s">
        <v>1349</v>
      </c>
      <c r="K457" t="s">
        <v>55</v>
      </c>
      <c r="L457" t="s">
        <v>55</v>
      </c>
      <c r="M457" t="s">
        <v>1429</v>
      </c>
    </row>
    <row r="458" spans="1:13" ht="15" customHeight="1" x14ac:dyDescent="0.25">
      <c r="A458" t="s">
        <v>1423</v>
      </c>
      <c r="B458" t="s">
        <v>327</v>
      </c>
      <c r="C458">
        <v>543512</v>
      </c>
      <c r="D458" t="s">
        <v>1488</v>
      </c>
      <c r="E458" t="s">
        <v>1489</v>
      </c>
      <c r="F458" t="s">
        <v>1490</v>
      </c>
      <c r="G458" t="s">
        <v>1491</v>
      </c>
      <c r="H458" t="s">
        <v>757</v>
      </c>
      <c r="I458" t="s">
        <v>1428</v>
      </c>
      <c r="J458" t="s">
        <v>770</v>
      </c>
      <c r="K458" t="s">
        <v>55</v>
      </c>
      <c r="L458" t="s">
        <v>55</v>
      </c>
      <c r="M458" t="s">
        <v>1454</v>
      </c>
    </row>
    <row r="459" spans="1:13" ht="15" customHeight="1" x14ac:dyDescent="0.25">
      <c r="A459" t="s">
        <v>1423</v>
      </c>
      <c r="B459" t="s">
        <v>327</v>
      </c>
      <c r="C459">
        <v>543593</v>
      </c>
      <c r="D459" t="s">
        <v>1492</v>
      </c>
      <c r="E459" t="s">
        <v>1493</v>
      </c>
      <c r="F459" t="s">
        <v>1494</v>
      </c>
      <c r="G459" t="s">
        <v>1495</v>
      </c>
      <c r="H459" t="s">
        <v>1199</v>
      </c>
      <c r="I459" t="s">
        <v>1428</v>
      </c>
      <c r="J459" t="s">
        <v>615</v>
      </c>
      <c r="K459" t="s">
        <v>55</v>
      </c>
      <c r="L459" t="s">
        <v>55</v>
      </c>
      <c r="M459" t="s">
        <v>1459</v>
      </c>
    </row>
    <row r="460" spans="1:13" ht="15" customHeight="1" x14ac:dyDescent="0.25">
      <c r="A460" t="s">
        <v>1423</v>
      </c>
      <c r="B460" t="s">
        <v>327</v>
      </c>
      <c r="C460">
        <v>543592</v>
      </c>
      <c r="D460" t="s">
        <v>1492</v>
      </c>
      <c r="E460" t="s">
        <v>1496</v>
      </c>
      <c r="F460" t="s">
        <v>1497</v>
      </c>
      <c r="G460" t="s">
        <v>1498</v>
      </c>
      <c r="H460" t="s">
        <v>1199</v>
      </c>
      <c r="I460" t="s">
        <v>1428</v>
      </c>
      <c r="J460" t="s">
        <v>637</v>
      </c>
      <c r="K460" t="s">
        <v>55</v>
      </c>
      <c r="L460" t="s">
        <v>55</v>
      </c>
      <c r="M460" t="s">
        <v>1453</v>
      </c>
    </row>
    <row r="461" spans="1:13" ht="15" customHeight="1" x14ac:dyDescent="0.25">
      <c r="A461" t="s">
        <v>1423</v>
      </c>
      <c r="B461" t="s">
        <v>327</v>
      </c>
      <c r="C461">
        <v>544128</v>
      </c>
      <c r="D461" t="s">
        <v>1499</v>
      </c>
      <c r="E461" t="s">
        <v>1500</v>
      </c>
      <c r="F461" t="s">
        <v>1501</v>
      </c>
      <c r="G461" t="s">
        <v>1502</v>
      </c>
      <c r="H461" t="s">
        <v>1050</v>
      </c>
      <c r="I461" t="s">
        <v>1428</v>
      </c>
      <c r="J461" t="s">
        <v>1075</v>
      </c>
      <c r="K461" t="s">
        <v>55</v>
      </c>
      <c r="L461" t="s">
        <v>55</v>
      </c>
      <c r="M461" t="s">
        <v>1503</v>
      </c>
    </row>
    <row r="462" spans="1:13" ht="15" customHeight="1" x14ac:dyDescent="0.25">
      <c r="A462" t="s">
        <v>1423</v>
      </c>
      <c r="B462" t="s">
        <v>327</v>
      </c>
      <c r="C462">
        <v>543500</v>
      </c>
      <c r="D462" t="s">
        <v>1504</v>
      </c>
      <c r="E462" t="s">
        <v>1505</v>
      </c>
      <c r="F462" t="s">
        <v>1506</v>
      </c>
      <c r="G462" t="s">
        <v>1507</v>
      </c>
      <c r="H462" t="s">
        <v>1508</v>
      </c>
      <c r="I462" t="s">
        <v>1428</v>
      </c>
      <c r="J462" t="s">
        <v>615</v>
      </c>
      <c r="K462" t="s">
        <v>55</v>
      </c>
      <c r="L462" t="s">
        <v>55</v>
      </c>
      <c r="M462" t="s">
        <v>1509</v>
      </c>
    </row>
    <row r="463" spans="1:13" ht="15" customHeight="1" x14ac:dyDescent="0.25">
      <c r="A463" t="s">
        <v>1423</v>
      </c>
      <c r="B463" t="s">
        <v>327</v>
      </c>
      <c r="C463">
        <v>543668</v>
      </c>
      <c r="D463" t="s">
        <v>1510</v>
      </c>
      <c r="E463" t="s">
        <v>1511</v>
      </c>
      <c r="F463" t="s">
        <v>1512</v>
      </c>
      <c r="G463" t="s">
        <v>1513</v>
      </c>
      <c r="H463" t="s">
        <v>803</v>
      </c>
      <c r="I463" t="s">
        <v>1428</v>
      </c>
      <c r="J463" t="s">
        <v>615</v>
      </c>
      <c r="K463" t="s">
        <v>55</v>
      </c>
      <c r="L463" t="s">
        <v>55</v>
      </c>
      <c r="M463" t="s">
        <v>1470</v>
      </c>
    </row>
    <row r="464" spans="1:13" ht="15" customHeight="1" x14ac:dyDescent="0.25">
      <c r="A464" t="s">
        <v>1423</v>
      </c>
      <c r="B464" t="s">
        <v>327</v>
      </c>
      <c r="C464">
        <v>543596</v>
      </c>
      <c r="D464" t="s">
        <v>1514</v>
      </c>
      <c r="E464" t="s">
        <v>1515</v>
      </c>
      <c r="F464" t="s">
        <v>1516</v>
      </c>
      <c r="G464" t="s">
        <v>1517</v>
      </c>
      <c r="H464" t="s">
        <v>1464</v>
      </c>
      <c r="I464" t="s">
        <v>1428</v>
      </c>
      <c r="J464" t="s">
        <v>615</v>
      </c>
      <c r="K464" t="s">
        <v>55</v>
      </c>
      <c r="L464" t="s">
        <v>55</v>
      </c>
      <c r="M464" t="s">
        <v>1518</v>
      </c>
    </row>
    <row r="465" spans="1:13" ht="15" customHeight="1" x14ac:dyDescent="0.25">
      <c r="A465" t="s">
        <v>1423</v>
      </c>
      <c r="B465" t="s">
        <v>327</v>
      </c>
      <c r="C465">
        <v>543670</v>
      </c>
      <c r="D465" t="s">
        <v>1519</v>
      </c>
      <c r="E465" t="s">
        <v>1520</v>
      </c>
      <c r="F465" t="s">
        <v>1521</v>
      </c>
      <c r="G465" t="s">
        <v>1522</v>
      </c>
      <c r="H465" t="s">
        <v>999</v>
      </c>
      <c r="I465" t="s">
        <v>1428</v>
      </c>
      <c r="J465" t="s">
        <v>1523</v>
      </c>
      <c r="K465" t="s">
        <v>55</v>
      </c>
      <c r="L465" t="s">
        <v>55</v>
      </c>
      <c r="M465" t="s">
        <v>1524</v>
      </c>
    </row>
    <row r="466" spans="1:13" ht="15" customHeight="1" x14ac:dyDescent="0.25">
      <c r="A466" t="s">
        <v>1423</v>
      </c>
      <c r="B466" t="s">
        <v>327</v>
      </c>
      <c r="C466">
        <v>543511</v>
      </c>
      <c r="D466" t="s">
        <v>1525</v>
      </c>
      <c r="E466" t="s">
        <v>800</v>
      </c>
      <c r="F466" t="s">
        <v>1526</v>
      </c>
      <c r="G466" t="s">
        <v>1527</v>
      </c>
      <c r="H466" t="s">
        <v>1008</v>
      </c>
      <c r="I466" t="s">
        <v>1428</v>
      </c>
      <c r="J466" t="s">
        <v>615</v>
      </c>
      <c r="K466" t="s">
        <v>55</v>
      </c>
      <c r="L466" t="s">
        <v>55</v>
      </c>
      <c r="M466" t="s">
        <v>1454</v>
      </c>
    </row>
    <row r="467" spans="1:13" ht="15" customHeight="1" x14ac:dyDescent="0.25">
      <c r="A467" t="s">
        <v>1423</v>
      </c>
      <c r="B467" t="s">
        <v>327</v>
      </c>
      <c r="C467">
        <v>543597</v>
      </c>
      <c r="D467" t="s">
        <v>1528</v>
      </c>
      <c r="E467" t="s">
        <v>1529</v>
      </c>
      <c r="F467" t="s">
        <v>1530</v>
      </c>
      <c r="G467" t="s">
        <v>1531</v>
      </c>
      <c r="H467" t="s">
        <v>999</v>
      </c>
      <c r="I467" t="s">
        <v>1428</v>
      </c>
      <c r="J467" t="s">
        <v>609</v>
      </c>
      <c r="K467" t="s">
        <v>55</v>
      </c>
      <c r="L467" t="s">
        <v>55</v>
      </c>
      <c r="M467" t="s">
        <v>1509</v>
      </c>
    </row>
    <row r="468" spans="1:13" ht="15" customHeight="1" x14ac:dyDescent="0.25">
      <c r="A468" t="s">
        <v>1423</v>
      </c>
      <c r="B468" t="s">
        <v>327</v>
      </c>
      <c r="C468">
        <v>543669</v>
      </c>
      <c r="D468" t="s">
        <v>1532</v>
      </c>
      <c r="E468" t="s">
        <v>1533</v>
      </c>
      <c r="F468" t="s">
        <v>1534</v>
      </c>
      <c r="G468" t="s">
        <v>1535</v>
      </c>
      <c r="H468" t="s">
        <v>1481</v>
      </c>
      <c r="I468" t="s">
        <v>1428</v>
      </c>
      <c r="J468" t="s">
        <v>631</v>
      </c>
      <c r="K468" t="s">
        <v>55</v>
      </c>
      <c r="L468" t="s">
        <v>55</v>
      </c>
      <c r="M468" t="s">
        <v>1536</v>
      </c>
    </row>
    <row r="469" spans="1:13" ht="15" customHeight="1" x14ac:dyDescent="0.25">
      <c r="A469" t="s">
        <v>1423</v>
      </c>
      <c r="B469" t="s">
        <v>327</v>
      </c>
      <c r="C469">
        <v>543591</v>
      </c>
      <c r="D469" t="s">
        <v>1537</v>
      </c>
      <c r="E469" t="s">
        <v>1538</v>
      </c>
      <c r="F469" t="s">
        <v>1539</v>
      </c>
      <c r="G469" t="s">
        <v>1540</v>
      </c>
      <c r="H469" t="s">
        <v>999</v>
      </c>
      <c r="I469" t="s">
        <v>1428</v>
      </c>
      <c r="J469" t="s">
        <v>1541</v>
      </c>
      <c r="K469" t="s">
        <v>55</v>
      </c>
      <c r="L469" t="s">
        <v>55</v>
      </c>
      <c r="M469" t="s">
        <v>1542</v>
      </c>
    </row>
    <row r="470" spans="1:13" ht="15" customHeight="1" x14ac:dyDescent="0.25">
      <c r="A470" t="s">
        <v>1423</v>
      </c>
      <c r="B470" t="s">
        <v>327</v>
      </c>
      <c r="C470">
        <v>543608</v>
      </c>
      <c r="D470" t="s">
        <v>1543</v>
      </c>
      <c r="E470" t="s">
        <v>1544</v>
      </c>
      <c r="F470" t="s">
        <v>1545</v>
      </c>
      <c r="G470" t="s">
        <v>1546</v>
      </c>
      <c r="H470" t="s">
        <v>999</v>
      </c>
      <c r="I470" t="s">
        <v>1428</v>
      </c>
      <c r="J470" t="s">
        <v>927</v>
      </c>
      <c r="K470" t="s">
        <v>55</v>
      </c>
      <c r="L470" t="s">
        <v>55</v>
      </c>
      <c r="M470" t="s">
        <v>1547</v>
      </c>
    </row>
    <row r="471" spans="1:13" ht="15" customHeight="1" x14ac:dyDescent="0.25">
      <c r="A471" t="s">
        <v>1423</v>
      </c>
      <c r="B471" t="s">
        <v>327</v>
      </c>
      <c r="C471">
        <v>543600</v>
      </c>
      <c r="D471" t="s">
        <v>1543</v>
      </c>
      <c r="E471" t="s">
        <v>1548</v>
      </c>
      <c r="F471" t="s">
        <v>1549</v>
      </c>
      <c r="G471" t="s">
        <v>1550</v>
      </c>
      <c r="H471" t="s">
        <v>999</v>
      </c>
      <c r="I471" t="s">
        <v>1428</v>
      </c>
      <c r="J471" t="s">
        <v>1551</v>
      </c>
      <c r="K471" t="s">
        <v>55</v>
      </c>
      <c r="L471" t="s">
        <v>55</v>
      </c>
      <c r="M471" t="s">
        <v>1552</v>
      </c>
    </row>
    <row r="472" spans="1:13" ht="15" customHeight="1" x14ac:dyDescent="0.25">
      <c r="A472" t="s">
        <v>1423</v>
      </c>
      <c r="B472" t="s">
        <v>327</v>
      </c>
      <c r="C472">
        <v>543513</v>
      </c>
      <c r="D472" t="s">
        <v>1046</v>
      </c>
      <c r="E472" t="s">
        <v>1047</v>
      </c>
      <c r="F472" t="s">
        <v>1048</v>
      </c>
      <c r="G472" t="s">
        <v>1049</v>
      </c>
      <c r="H472" t="s">
        <v>1050</v>
      </c>
      <c r="I472" t="s">
        <v>1428</v>
      </c>
      <c r="J472" t="s">
        <v>1051</v>
      </c>
      <c r="K472" t="s">
        <v>55</v>
      </c>
      <c r="L472" t="s">
        <v>55</v>
      </c>
      <c r="M472" t="s">
        <v>1553</v>
      </c>
    </row>
    <row r="473" spans="1:13" ht="15" customHeight="1" x14ac:dyDescent="0.25">
      <c r="A473" t="s">
        <v>1423</v>
      </c>
      <c r="B473" t="s">
        <v>327</v>
      </c>
      <c r="C473">
        <v>544088</v>
      </c>
      <c r="D473" t="s">
        <v>1554</v>
      </c>
      <c r="E473" t="s">
        <v>1555</v>
      </c>
      <c r="F473" t="s">
        <v>1556</v>
      </c>
      <c r="G473" t="s">
        <v>1557</v>
      </c>
      <c r="H473" t="s">
        <v>1481</v>
      </c>
      <c r="I473" t="s">
        <v>1428</v>
      </c>
      <c r="J473" t="s">
        <v>620</v>
      </c>
      <c r="K473" t="s">
        <v>55</v>
      </c>
      <c r="L473" t="s">
        <v>55</v>
      </c>
      <c r="M473" t="s">
        <v>1558</v>
      </c>
    </row>
    <row r="474" spans="1:13" ht="15" customHeight="1" x14ac:dyDescent="0.25">
      <c r="A474" t="s">
        <v>1423</v>
      </c>
      <c r="B474" t="s">
        <v>327</v>
      </c>
      <c r="C474">
        <v>544093</v>
      </c>
      <c r="D474" t="s">
        <v>1559</v>
      </c>
      <c r="E474" t="s">
        <v>1560</v>
      </c>
      <c r="F474" t="s">
        <v>1561</v>
      </c>
      <c r="G474" t="s">
        <v>1562</v>
      </c>
      <c r="H474" t="s">
        <v>999</v>
      </c>
      <c r="I474" t="s">
        <v>1428</v>
      </c>
      <c r="J474" t="s">
        <v>637</v>
      </c>
      <c r="K474" t="s">
        <v>55</v>
      </c>
      <c r="L474" t="s">
        <v>55</v>
      </c>
      <c r="M474" t="s">
        <v>1563</v>
      </c>
    </row>
    <row r="475" spans="1:13" ht="15" customHeight="1" x14ac:dyDescent="0.25">
      <c r="A475" t="s">
        <v>1423</v>
      </c>
      <c r="B475" t="s">
        <v>327</v>
      </c>
      <c r="C475">
        <v>544092</v>
      </c>
      <c r="D475" t="s">
        <v>1564</v>
      </c>
      <c r="E475" t="s">
        <v>1565</v>
      </c>
      <c r="F475" t="s">
        <v>1566</v>
      </c>
      <c r="G475" t="s">
        <v>1567</v>
      </c>
      <c r="H475" t="s">
        <v>999</v>
      </c>
      <c r="I475" t="s">
        <v>1428</v>
      </c>
      <c r="J475" t="s">
        <v>1568</v>
      </c>
      <c r="K475" t="s">
        <v>55</v>
      </c>
      <c r="L475" t="s">
        <v>55</v>
      </c>
      <c r="M475" t="s">
        <v>1569</v>
      </c>
    </row>
    <row r="476" spans="1:13" ht="15" customHeight="1" x14ac:dyDescent="0.25">
      <c r="A476" t="s">
        <v>1423</v>
      </c>
      <c r="B476" t="s">
        <v>327</v>
      </c>
      <c r="C476">
        <v>543811</v>
      </c>
      <c r="D476" t="s">
        <v>1570</v>
      </c>
      <c r="E476" t="s">
        <v>1571</v>
      </c>
      <c r="F476" t="s">
        <v>1572</v>
      </c>
      <c r="G476" t="s">
        <v>1573</v>
      </c>
      <c r="H476" t="s">
        <v>1464</v>
      </c>
      <c r="I476" t="s">
        <v>1428</v>
      </c>
      <c r="J476" t="s">
        <v>615</v>
      </c>
      <c r="K476" t="s">
        <v>55</v>
      </c>
      <c r="L476" t="s">
        <v>55</v>
      </c>
      <c r="M476" t="s">
        <v>1454</v>
      </c>
    </row>
    <row r="477" spans="1:13" ht="15" customHeight="1" x14ac:dyDescent="0.25">
      <c r="A477" t="s">
        <v>1423</v>
      </c>
      <c r="B477" t="s">
        <v>327</v>
      </c>
      <c r="C477">
        <v>543712</v>
      </c>
      <c r="D477" t="s">
        <v>1574</v>
      </c>
      <c r="E477" t="s">
        <v>1575</v>
      </c>
      <c r="F477" t="s">
        <v>1576</v>
      </c>
      <c r="G477" t="s">
        <v>1577</v>
      </c>
      <c r="H477" t="s">
        <v>1199</v>
      </c>
      <c r="I477" t="s">
        <v>1428</v>
      </c>
      <c r="J477" t="s">
        <v>631</v>
      </c>
      <c r="K477" t="s">
        <v>55</v>
      </c>
      <c r="L477" t="s">
        <v>55</v>
      </c>
      <c r="M477" t="s">
        <v>1429</v>
      </c>
    </row>
    <row r="478" spans="1:13" ht="15" customHeight="1" x14ac:dyDescent="0.25">
      <c r="A478" t="s">
        <v>1423</v>
      </c>
      <c r="B478" t="s">
        <v>327</v>
      </c>
      <c r="C478">
        <v>543658</v>
      </c>
      <c r="D478" t="s">
        <v>1578</v>
      </c>
      <c r="E478" t="s">
        <v>891</v>
      </c>
      <c r="F478" t="s">
        <v>1579</v>
      </c>
      <c r="G478" t="s">
        <v>1580</v>
      </c>
      <c r="H478" t="s">
        <v>1008</v>
      </c>
      <c r="I478" t="s">
        <v>1428</v>
      </c>
      <c r="J478" t="s">
        <v>715</v>
      </c>
      <c r="K478" t="s">
        <v>55</v>
      </c>
      <c r="L478" t="s">
        <v>55</v>
      </c>
      <c r="M478" t="s">
        <v>1581</v>
      </c>
    </row>
    <row r="479" spans="1:13" ht="15" customHeight="1" x14ac:dyDescent="0.25">
      <c r="A479" t="s">
        <v>1423</v>
      </c>
      <c r="B479" t="s">
        <v>327</v>
      </c>
      <c r="C479">
        <v>543657</v>
      </c>
      <c r="D479" t="s">
        <v>1582</v>
      </c>
      <c r="E479" t="s">
        <v>1583</v>
      </c>
      <c r="F479" t="s">
        <v>1584</v>
      </c>
      <c r="G479" t="s">
        <v>1585</v>
      </c>
      <c r="H479" t="s">
        <v>911</v>
      </c>
      <c r="I479" t="s">
        <v>1428</v>
      </c>
      <c r="J479" t="s">
        <v>631</v>
      </c>
      <c r="K479" t="s">
        <v>55</v>
      </c>
      <c r="L479" t="s">
        <v>55</v>
      </c>
      <c r="M479" t="s">
        <v>1586</v>
      </c>
    </row>
    <row r="480" spans="1:13" ht="15" customHeight="1" x14ac:dyDescent="0.25">
      <c r="A480" t="s">
        <v>1423</v>
      </c>
      <c r="B480" t="s">
        <v>327</v>
      </c>
      <c r="C480">
        <v>543656</v>
      </c>
      <c r="D480" t="s">
        <v>1587</v>
      </c>
      <c r="E480" t="s">
        <v>1588</v>
      </c>
      <c r="F480" t="s">
        <v>1589</v>
      </c>
      <c r="G480" t="s">
        <v>1590</v>
      </c>
      <c r="H480" t="s">
        <v>911</v>
      </c>
      <c r="I480" t="s">
        <v>1428</v>
      </c>
      <c r="J480" t="s">
        <v>631</v>
      </c>
      <c r="K480" t="s">
        <v>55</v>
      </c>
      <c r="L480" t="s">
        <v>55</v>
      </c>
      <c r="M480" t="s">
        <v>1586</v>
      </c>
    </row>
    <row r="481" spans="1:13" ht="15" customHeight="1" x14ac:dyDescent="0.25">
      <c r="A481" t="s">
        <v>1423</v>
      </c>
      <c r="B481" t="s">
        <v>327</v>
      </c>
      <c r="C481">
        <v>543514</v>
      </c>
      <c r="D481" t="s">
        <v>1162</v>
      </c>
      <c r="E481" t="s">
        <v>1163</v>
      </c>
      <c r="F481" t="s">
        <v>1164</v>
      </c>
      <c r="G481" t="s">
        <v>1165</v>
      </c>
      <c r="H481" t="s">
        <v>999</v>
      </c>
      <c r="I481" t="s">
        <v>1428</v>
      </c>
      <c r="J481" t="s">
        <v>596</v>
      </c>
      <c r="K481" t="s">
        <v>55</v>
      </c>
      <c r="L481" t="s">
        <v>55</v>
      </c>
      <c r="M481" t="s">
        <v>1591</v>
      </c>
    </row>
    <row r="482" spans="1:13" ht="15" customHeight="1" x14ac:dyDescent="0.25">
      <c r="A482" t="s">
        <v>1423</v>
      </c>
      <c r="B482" t="s">
        <v>327</v>
      </c>
      <c r="C482">
        <v>543661</v>
      </c>
      <c r="D482" t="s">
        <v>1592</v>
      </c>
      <c r="E482" t="s">
        <v>1593</v>
      </c>
      <c r="F482" t="s">
        <v>1594</v>
      </c>
      <c r="G482" t="s">
        <v>1595</v>
      </c>
      <c r="H482" t="s">
        <v>1596</v>
      </c>
      <c r="I482" t="s">
        <v>1428</v>
      </c>
      <c r="J482" t="s">
        <v>603</v>
      </c>
      <c r="K482" t="s">
        <v>55</v>
      </c>
      <c r="L482" t="s">
        <v>55</v>
      </c>
      <c r="M482" t="s">
        <v>1597</v>
      </c>
    </row>
    <row r="483" spans="1:13" ht="15" customHeight="1" x14ac:dyDescent="0.25">
      <c r="A483" t="s">
        <v>1423</v>
      </c>
      <c r="B483" t="s">
        <v>327</v>
      </c>
      <c r="C483">
        <v>543501</v>
      </c>
      <c r="D483" t="s">
        <v>1598</v>
      </c>
      <c r="E483" t="s">
        <v>1599</v>
      </c>
      <c r="F483" t="s">
        <v>1600</v>
      </c>
      <c r="G483" t="s">
        <v>1601</v>
      </c>
      <c r="H483" t="s">
        <v>999</v>
      </c>
      <c r="I483" t="s">
        <v>1428</v>
      </c>
      <c r="J483" t="s">
        <v>615</v>
      </c>
      <c r="K483" t="s">
        <v>55</v>
      </c>
      <c r="L483" t="s">
        <v>55</v>
      </c>
      <c r="M483" t="s">
        <v>1602</v>
      </c>
    </row>
    <row r="484" spans="1:13" ht="15" customHeight="1" x14ac:dyDescent="0.25">
      <c r="A484" t="s">
        <v>1423</v>
      </c>
      <c r="B484" t="s">
        <v>327</v>
      </c>
      <c r="C484">
        <v>543594</v>
      </c>
      <c r="D484" t="s">
        <v>1603</v>
      </c>
      <c r="E484" t="s">
        <v>1604</v>
      </c>
      <c r="F484" t="s">
        <v>1605</v>
      </c>
      <c r="G484" t="s">
        <v>1606</v>
      </c>
      <c r="H484" t="s">
        <v>1377</v>
      </c>
      <c r="I484" t="s">
        <v>1428</v>
      </c>
      <c r="J484" t="s">
        <v>631</v>
      </c>
      <c r="K484" t="s">
        <v>55</v>
      </c>
      <c r="L484" t="s">
        <v>55</v>
      </c>
      <c r="M484" t="s">
        <v>1607</v>
      </c>
    </row>
    <row r="485" spans="1:13" ht="15" customHeight="1" x14ac:dyDescent="0.25">
      <c r="A485" t="s">
        <v>1423</v>
      </c>
      <c r="B485" t="s">
        <v>327</v>
      </c>
      <c r="C485">
        <v>544095</v>
      </c>
      <c r="D485" t="s">
        <v>1608</v>
      </c>
      <c r="E485" t="s">
        <v>1609</v>
      </c>
      <c r="F485" t="s">
        <v>1610</v>
      </c>
      <c r="G485" t="s">
        <v>1611</v>
      </c>
      <c r="H485" t="s">
        <v>999</v>
      </c>
      <c r="I485" t="s">
        <v>1428</v>
      </c>
      <c r="J485" t="s">
        <v>751</v>
      </c>
      <c r="K485" t="s">
        <v>55</v>
      </c>
      <c r="L485" t="s">
        <v>55</v>
      </c>
      <c r="M485" t="s">
        <v>1612</v>
      </c>
    </row>
    <row r="486" spans="1:13" ht="15" customHeight="1" x14ac:dyDescent="0.25">
      <c r="A486" t="s">
        <v>1423</v>
      </c>
      <c r="B486" t="s">
        <v>327</v>
      </c>
      <c r="C486">
        <v>543504</v>
      </c>
      <c r="D486" t="s">
        <v>1613</v>
      </c>
      <c r="E486" t="s">
        <v>1614</v>
      </c>
      <c r="F486" t="s">
        <v>1615</v>
      </c>
      <c r="G486" t="s">
        <v>1616</v>
      </c>
      <c r="H486" t="s">
        <v>1199</v>
      </c>
      <c r="I486" t="s">
        <v>1428</v>
      </c>
      <c r="J486" t="s">
        <v>620</v>
      </c>
      <c r="K486" t="s">
        <v>55</v>
      </c>
      <c r="L486" t="s">
        <v>55</v>
      </c>
      <c r="M486" t="s">
        <v>1617</v>
      </c>
    </row>
    <row r="487" spans="1:13" ht="15" customHeight="1" x14ac:dyDescent="0.25">
      <c r="A487" t="s">
        <v>1423</v>
      </c>
      <c r="B487" t="s">
        <v>327</v>
      </c>
      <c r="C487">
        <v>543508</v>
      </c>
      <c r="D487" t="s">
        <v>1409</v>
      </c>
      <c r="E487" t="s">
        <v>1618</v>
      </c>
      <c r="F487" t="s">
        <v>1619</v>
      </c>
      <c r="G487" t="s">
        <v>1620</v>
      </c>
      <c r="H487" t="s">
        <v>1199</v>
      </c>
      <c r="I487" t="s">
        <v>1428</v>
      </c>
      <c r="J487" t="s">
        <v>1621</v>
      </c>
      <c r="K487" t="s">
        <v>55</v>
      </c>
      <c r="L487" t="s">
        <v>55</v>
      </c>
      <c r="M487" t="s">
        <v>1622</v>
      </c>
    </row>
    <row r="488" spans="1:13" ht="15" customHeight="1" x14ac:dyDescent="0.25">
      <c r="A488" t="s">
        <v>1423</v>
      </c>
      <c r="B488" t="s">
        <v>327</v>
      </c>
      <c r="C488">
        <v>543505</v>
      </c>
      <c r="D488" t="s">
        <v>1623</v>
      </c>
      <c r="E488" t="s">
        <v>1624</v>
      </c>
      <c r="F488" t="s">
        <v>1625</v>
      </c>
      <c r="G488" t="s">
        <v>1626</v>
      </c>
      <c r="H488" t="s">
        <v>1475</v>
      </c>
      <c r="I488" t="s">
        <v>1428</v>
      </c>
      <c r="J488" t="s">
        <v>620</v>
      </c>
      <c r="K488" t="s">
        <v>55</v>
      </c>
      <c r="L488" t="s">
        <v>55</v>
      </c>
      <c r="M488" t="s">
        <v>1547</v>
      </c>
    </row>
    <row r="489" spans="1:13" ht="15" customHeight="1" x14ac:dyDescent="0.25">
      <c r="A489" t="s">
        <v>1423</v>
      </c>
      <c r="B489" t="s">
        <v>327</v>
      </c>
      <c r="C489">
        <v>543510</v>
      </c>
      <c r="D489" t="s">
        <v>1623</v>
      </c>
      <c r="E489" t="s">
        <v>1627</v>
      </c>
      <c r="F489" t="s">
        <v>1628</v>
      </c>
      <c r="G489" t="s">
        <v>1629</v>
      </c>
      <c r="H489" t="s">
        <v>1475</v>
      </c>
      <c r="I489" t="s">
        <v>1428</v>
      </c>
      <c r="J489" t="s">
        <v>620</v>
      </c>
      <c r="K489" t="s">
        <v>55</v>
      </c>
      <c r="L489" t="s">
        <v>55</v>
      </c>
      <c r="M489" t="s">
        <v>1617</v>
      </c>
    </row>
    <row r="490" spans="1:13" ht="15" customHeight="1" x14ac:dyDescent="0.25">
      <c r="A490" t="s">
        <v>1423</v>
      </c>
      <c r="B490" t="s">
        <v>327</v>
      </c>
      <c r="C490">
        <v>543660</v>
      </c>
      <c r="D490" t="s">
        <v>1630</v>
      </c>
      <c r="E490" t="s">
        <v>1631</v>
      </c>
      <c r="F490" t="s">
        <v>1632</v>
      </c>
      <c r="G490" t="s">
        <v>1633</v>
      </c>
      <c r="H490" t="s">
        <v>1199</v>
      </c>
      <c r="I490" t="s">
        <v>1428</v>
      </c>
      <c r="J490" t="s">
        <v>620</v>
      </c>
      <c r="K490" t="s">
        <v>55</v>
      </c>
      <c r="L490" t="s">
        <v>55</v>
      </c>
      <c r="M490" t="s">
        <v>1634</v>
      </c>
    </row>
    <row r="491" spans="1:13" ht="15" customHeight="1" x14ac:dyDescent="0.25">
      <c r="A491" t="s">
        <v>1423</v>
      </c>
      <c r="B491" t="s">
        <v>327</v>
      </c>
      <c r="C491">
        <v>544094</v>
      </c>
      <c r="D491" t="s">
        <v>1635</v>
      </c>
      <c r="E491" t="s">
        <v>1636</v>
      </c>
      <c r="F491" t="s">
        <v>1637</v>
      </c>
      <c r="G491" t="s">
        <v>1638</v>
      </c>
      <c r="H491" t="s">
        <v>999</v>
      </c>
      <c r="I491" t="s">
        <v>1428</v>
      </c>
      <c r="J491" t="s">
        <v>631</v>
      </c>
      <c r="K491" t="s">
        <v>55</v>
      </c>
      <c r="L491" t="s">
        <v>55</v>
      </c>
      <c r="M491" t="s">
        <v>1639</v>
      </c>
    </row>
    <row r="492" spans="1:13" ht="15" customHeight="1" x14ac:dyDescent="0.25">
      <c r="A492" t="s">
        <v>1423</v>
      </c>
      <c r="B492" t="s">
        <v>327</v>
      </c>
      <c r="C492">
        <v>543515</v>
      </c>
      <c r="D492" t="s">
        <v>1288</v>
      </c>
      <c r="E492" t="s">
        <v>1289</v>
      </c>
      <c r="F492" t="s">
        <v>1290</v>
      </c>
      <c r="G492" t="s">
        <v>1291</v>
      </c>
      <c r="H492" t="s">
        <v>803</v>
      </c>
      <c r="I492" t="s">
        <v>1428</v>
      </c>
      <c r="J492" t="s">
        <v>927</v>
      </c>
      <c r="K492" t="s">
        <v>55</v>
      </c>
      <c r="L492" t="s">
        <v>55</v>
      </c>
      <c r="M492" t="s">
        <v>1640</v>
      </c>
    </row>
    <row r="493" spans="1:13" ht="15" customHeight="1" x14ac:dyDescent="0.25">
      <c r="A493" t="s">
        <v>1423</v>
      </c>
      <c r="B493" t="s">
        <v>327</v>
      </c>
      <c r="C493">
        <v>543516</v>
      </c>
      <c r="D493" t="s">
        <v>1641</v>
      </c>
      <c r="E493" t="s">
        <v>1642</v>
      </c>
      <c r="F493" t="s">
        <v>1643</v>
      </c>
      <c r="G493" t="s">
        <v>1644</v>
      </c>
      <c r="H493" t="s">
        <v>999</v>
      </c>
      <c r="I493" t="s">
        <v>1428</v>
      </c>
      <c r="J493" t="s">
        <v>1645</v>
      </c>
      <c r="K493" t="s">
        <v>55</v>
      </c>
      <c r="L493" t="s">
        <v>55</v>
      </c>
      <c r="M493" t="s">
        <v>1421</v>
      </c>
    </row>
    <row r="494" spans="1:13" ht="15" customHeight="1" x14ac:dyDescent="0.25">
      <c r="A494" t="s">
        <v>1646</v>
      </c>
      <c r="B494" t="s">
        <v>330</v>
      </c>
      <c r="C494">
        <v>541728</v>
      </c>
      <c r="D494" t="s">
        <v>1647</v>
      </c>
      <c r="E494" t="s">
        <v>1648</v>
      </c>
      <c r="F494" t="s">
        <v>1649</v>
      </c>
      <c r="G494" t="s">
        <v>1650</v>
      </c>
      <c r="H494" t="s">
        <v>1651</v>
      </c>
      <c r="I494" t="s">
        <v>1652</v>
      </c>
      <c r="J494" t="s">
        <v>620</v>
      </c>
      <c r="K494" t="s">
        <v>55</v>
      </c>
      <c r="L494" t="s">
        <v>55</v>
      </c>
      <c r="M494" t="s">
        <v>1653</v>
      </c>
    </row>
    <row r="495" spans="1:13" ht="15" customHeight="1" x14ac:dyDescent="0.25">
      <c r="A495" t="s">
        <v>1646</v>
      </c>
      <c r="B495" t="s">
        <v>330</v>
      </c>
      <c r="C495">
        <v>541671</v>
      </c>
      <c r="D495" t="s">
        <v>1654</v>
      </c>
      <c r="E495" t="s">
        <v>1655</v>
      </c>
      <c r="F495" t="s">
        <v>1656</v>
      </c>
      <c r="G495" t="s">
        <v>1657</v>
      </c>
      <c r="H495" t="s">
        <v>1481</v>
      </c>
      <c r="I495" t="s">
        <v>1652</v>
      </c>
      <c r="J495" t="s">
        <v>689</v>
      </c>
      <c r="K495" t="s">
        <v>55</v>
      </c>
      <c r="L495" t="s">
        <v>55</v>
      </c>
      <c r="M495" t="s">
        <v>1658</v>
      </c>
    </row>
    <row r="496" spans="1:13" ht="15" customHeight="1" x14ac:dyDescent="0.25">
      <c r="A496" t="s">
        <v>1646</v>
      </c>
      <c r="B496" t="s">
        <v>330</v>
      </c>
      <c r="C496">
        <v>541609</v>
      </c>
      <c r="D496" t="s">
        <v>1659</v>
      </c>
      <c r="E496" t="s">
        <v>1660</v>
      </c>
      <c r="F496" t="s">
        <v>1661</v>
      </c>
      <c r="G496" t="s">
        <v>1662</v>
      </c>
      <c r="H496" t="s">
        <v>1663</v>
      </c>
      <c r="I496" t="s">
        <v>1652</v>
      </c>
      <c r="J496" t="s">
        <v>615</v>
      </c>
      <c r="K496" t="s">
        <v>55</v>
      </c>
      <c r="L496" t="s">
        <v>55</v>
      </c>
      <c r="M496" t="s">
        <v>1664</v>
      </c>
    </row>
    <row r="497" spans="1:13" ht="15" customHeight="1" x14ac:dyDescent="0.25">
      <c r="A497" t="s">
        <v>1646</v>
      </c>
      <c r="B497" t="s">
        <v>330</v>
      </c>
      <c r="C497">
        <v>541613</v>
      </c>
      <c r="D497" t="s">
        <v>1665</v>
      </c>
      <c r="E497" t="s">
        <v>1666</v>
      </c>
      <c r="F497" t="s">
        <v>1667</v>
      </c>
      <c r="G497" t="s">
        <v>1668</v>
      </c>
      <c r="H497" t="s">
        <v>1663</v>
      </c>
      <c r="I497" t="s">
        <v>1652</v>
      </c>
      <c r="J497" t="s">
        <v>620</v>
      </c>
      <c r="K497" t="s">
        <v>55</v>
      </c>
      <c r="L497" t="s">
        <v>55</v>
      </c>
      <c r="M497" t="s">
        <v>1669</v>
      </c>
    </row>
    <row r="498" spans="1:13" ht="15" customHeight="1" x14ac:dyDescent="0.25">
      <c r="A498" t="s">
        <v>1646</v>
      </c>
      <c r="B498" t="s">
        <v>330</v>
      </c>
      <c r="C498">
        <v>541789</v>
      </c>
      <c r="D498" t="s">
        <v>1670</v>
      </c>
      <c r="E498" t="s">
        <v>1671</v>
      </c>
      <c r="F498" t="s">
        <v>1672</v>
      </c>
      <c r="G498" t="s">
        <v>1673</v>
      </c>
      <c r="H498" t="s">
        <v>1674</v>
      </c>
      <c r="I498" t="s">
        <v>1652</v>
      </c>
      <c r="J498" t="s">
        <v>715</v>
      </c>
      <c r="K498" t="s">
        <v>55</v>
      </c>
      <c r="L498" t="s">
        <v>55</v>
      </c>
      <c r="M498" t="s">
        <v>1664</v>
      </c>
    </row>
    <row r="499" spans="1:13" ht="15" customHeight="1" x14ac:dyDescent="0.25">
      <c r="A499" t="s">
        <v>1646</v>
      </c>
      <c r="B499" t="s">
        <v>330</v>
      </c>
      <c r="C499">
        <v>541688</v>
      </c>
      <c r="D499" t="s">
        <v>1675</v>
      </c>
      <c r="E499" t="s">
        <v>1134</v>
      </c>
      <c r="F499" t="s">
        <v>1676</v>
      </c>
      <c r="G499" t="s">
        <v>1677</v>
      </c>
      <c r="H499" t="s">
        <v>1674</v>
      </c>
      <c r="I499" t="s">
        <v>1652</v>
      </c>
      <c r="J499" t="s">
        <v>615</v>
      </c>
      <c r="K499" t="s">
        <v>55</v>
      </c>
      <c r="L499" t="s">
        <v>55</v>
      </c>
      <c r="M499" t="s">
        <v>1678</v>
      </c>
    </row>
    <row r="500" spans="1:13" ht="15" customHeight="1" x14ac:dyDescent="0.25">
      <c r="A500" t="s">
        <v>1646</v>
      </c>
      <c r="B500" t="s">
        <v>330</v>
      </c>
      <c r="C500">
        <v>541616</v>
      </c>
      <c r="D500" t="s">
        <v>1679</v>
      </c>
      <c r="E500" t="s">
        <v>1680</v>
      </c>
      <c r="F500" t="s">
        <v>1681</v>
      </c>
      <c r="G500" t="s">
        <v>1682</v>
      </c>
      <c r="H500" t="s">
        <v>1674</v>
      </c>
      <c r="I500" t="s">
        <v>1652</v>
      </c>
      <c r="J500" t="s">
        <v>603</v>
      </c>
      <c r="K500" t="s">
        <v>55</v>
      </c>
      <c r="L500" t="s">
        <v>55</v>
      </c>
      <c r="M500" t="s">
        <v>1683</v>
      </c>
    </row>
    <row r="501" spans="1:13" ht="15" customHeight="1" x14ac:dyDescent="0.25">
      <c r="A501" t="s">
        <v>1646</v>
      </c>
      <c r="B501" t="s">
        <v>330</v>
      </c>
      <c r="C501">
        <v>541669</v>
      </c>
      <c r="D501" t="s">
        <v>1684</v>
      </c>
      <c r="E501" t="s">
        <v>1685</v>
      </c>
      <c r="F501" t="s">
        <v>1686</v>
      </c>
      <c r="G501" t="s">
        <v>1687</v>
      </c>
      <c r="H501" t="s">
        <v>1674</v>
      </c>
      <c r="I501" t="s">
        <v>1652</v>
      </c>
      <c r="J501" t="s">
        <v>777</v>
      </c>
      <c r="K501" t="s">
        <v>55</v>
      </c>
      <c r="L501" t="s">
        <v>55</v>
      </c>
      <c r="M501" t="s">
        <v>1664</v>
      </c>
    </row>
    <row r="502" spans="1:13" ht="15" customHeight="1" x14ac:dyDescent="0.25">
      <c r="A502" t="s">
        <v>1646</v>
      </c>
      <c r="B502" t="s">
        <v>330</v>
      </c>
      <c r="C502">
        <v>541708</v>
      </c>
      <c r="D502" t="s">
        <v>1688</v>
      </c>
      <c r="E502" t="s">
        <v>1689</v>
      </c>
      <c r="F502" t="s">
        <v>1690</v>
      </c>
      <c r="G502" t="s">
        <v>1691</v>
      </c>
      <c r="H502" t="s">
        <v>1481</v>
      </c>
      <c r="I502" t="s">
        <v>1652</v>
      </c>
      <c r="J502" t="s">
        <v>927</v>
      </c>
      <c r="K502" t="s">
        <v>55</v>
      </c>
      <c r="L502" t="s">
        <v>55</v>
      </c>
      <c r="M502" t="s">
        <v>1692</v>
      </c>
    </row>
    <row r="503" spans="1:13" ht="15" customHeight="1" x14ac:dyDescent="0.25">
      <c r="A503" t="s">
        <v>1646</v>
      </c>
      <c r="B503" t="s">
        <v>330</v>
      </c>
      <c r="C503">
        <v>541615</v>
      </c>
      <c r="D503" t="s">
        <v>1693</v>
      </c>
      <c r="E503" t="s">
        <v>1694</v>
      </c>
      <c r="F503" t="s">
        <v>1695</v>
      </c>
      <c r="G503" t="s">
        <v>1696</v>
      </c>
      <c r="H503" t="s">
        <v>1674</v>
      </c>
      <c r="I503" t="s">
        <v>1652</v>
      </c>
      <c r="J503" t="s">
        <v>1697</v>
      </c>
      <c r="K503" t="s">
        <v>55</v>
      </c>
      <c r="L503" t="s">
        <v>55</v>
      </c>
      <c r="M503" t="s">
        <v>1698</v>
      </c>
    </row>
    <row r="504" spans="1:13" ht="15" customHeight="1" x14ac:dyDescent="0.25">
      <c r="A504" t="s">
        <v>1646</v>
      </c>
      <c r="B504" t="s">
        <v>330</v>
      </c>
      <c r="C504">
        <v>541668</v>
      </c>
      <c r="D504" t="s">
        <v>1699</v>
      </c>
      <c r="E504" t="s">
        <v>1700</v>
      </c>
      <c r="F504" t="s">
        <v>1701</v>
      </c>
      <c r="G504" t="s">
        <v>1702</v>
      </c>
      <c r="H504" t="s">
        <v>1703</v>
      </c>
      <c r="I504" t="s">
        <v>1652</v>
      </c>
      <c r="J504" t="s">
        <v>637</v>
      </c>
      <c r="K504" t="s">
        <v>55</v>
      </c>
      <c r="L504" t="s">
        <v>55</v>
      </c>
      <c r="M504" t="s">
        <v>1704</v>
      </c>
    </row>
    <row r="505" spans="1:13" ht="15" customHeight="1" x14ac:dyDescent="0.25">
      <c r="A505" t="s">
        <v>1646</v>
      </c>
      <c r="B505" t="s">
        <v>330</v>
      </c>
      <c r="C505">
        <v>541610</v>
      </c>
      <c r="D505" t="s">
        <v>1705</v>
      </c>
      <c r="E505" t="s">
        <v>1706</v>
      </c>
      <c r="F505" t="s">
        <v>1707</v>
      </c>
      <c r="G505" t="s">
        <v>1708</v>
      </c>
      <c r="H505" t="s">
        <v>1674</v>
      </c>
      <c r="I505" t="s">
        <v>1652</v>
      </c>
      <c r="J505" t="s">
        <v>620</v>
      </c>
      <c r="K505" t="s">
        <v>55</v>
      </c>
      <c r="L505" t="s">
        <v>55</v>
      </c>
      <c r="M505" t="s">
        <v>1669</v>
      </c>
    </row>
    <row r="506" spans="1:13" ht="15" customHeight="1" x14ac:dyDescent="0.25">
      <c r="A506" t="s">
        <v>1646</v>
      </c>
      <c r="B506" t="s">
        <v>330</v>
      </c>
      <c r="C506">
        <v>541769</v>
      </c>
      <c r="D506" t="s">
        <v>1709</v>
      </c>
      <c r="E506" t="s">
        <v>1710</v>
      </c>
      <c r="F506" t="s">
        <v>1711</v>
      </c>
      <c r="G506" t="s">
        <v>1712</v>
      </c>
      <c r="H506" t="s">
        <v>1663</v>
      </c>
      <c r="I506" t="s">
        <v>1652</v>
      </c>
      <c r="J506" t="s">
        <v>615</v>
      </c>
      <c r="K506" t="s">
        <v>55</v>
      </c>
      <c r="L506" t="s">
        <v>55</v>
      </c>
      <c r="M506" t="s">
        <v>1669</v>
      </c>
    </row>
    <row r="507" spans="1:13" ht="15" customHeight="1" x14ac:dyDescent="0.25">
      <c r="A507" t="s">
        <v>1646</v>
      </c>
      <c r="B507" t="s">
        <v>330</v>
      </c>
      <c r="C507">
        <v>541729</v>
      </c>
      <c r="D507" t="s">
        <v>1713</v>
      </c>
      <c r="E507" t="s">
        <v>1714</v>
      </c>
      <c r="F507" t="s">
        <v>1715</v>
      </c>
      <c r="G507" t="s">
        <v>1716</v>
      </c>
      <c r="H507" t="s">
        <v>1481</v>
      </c>
      <c r="I507" t="s">
        <v>1652</v>
      </c>
      <c r="J507" t="s">
        <v>620</v>
      </c>
      <c r="K507" t="s">
        <v>55</v>
      </c>
      <c r="L507" t="s">
        <v>55</v>
      </c>
      <c r="M507" t="s">
        <v>1717</v>
      </c>
    </row>
    <row r="508" spans="1:13" ht="15" customHeight="1" x14ac:dyDescent="0.25">
      <c r="A508" t="s">
        <v>1646</v>
      </c>
      <c r="B508" t="s">
        <v>330</v>
      </c>
      <c r="C508">
        <v>541670</v>
      </c>
      <c r="D508" t="s">
        <v>1718</v>
      </c>
      <c r="E508" t="s">
        <v>1719</v>
      </c>
      <c r="F508" t="s">
        <v>1720</v>
      </c>
      <c r="G508" t="s">
        <v>1721</v>
      </c>
      <c r="H508" t="s">
        <v>1674</v>
      </c>
      <c r="I508" t="s">
        <v>1652</v>
      </c>
      <c r="J508" t="s">
        <v>603</v>
      </c>
      <c r="K508" t="s">
        <v>55</v>
      </c>
      <c r="L508" t="s">
        <v>55</v>
      </c>
      <c r="M508" t="s">
        <v>1722</v>
      </c>
    </row>
    <row r="509" spans="1:13" ht="15" customHeight="1" x14ac:dyDescent="0.25">
      <c r="A509" t="s">
        <v>1646</v>
      </c>
      <c r="B509" t="s">
        <v>330</v>
      </c>
      <c r="C509">
        <v>541612</v>
      </c>
      <c r="D509" t="s">
        <v>1723</v>
      </c>
      <c r="E509" t="s">
        <v>1724</v>
      </c>
      <c r="F509" t="s">
        <v>1725</v>
      </c>
      <c r="G509" t="s">
        <v>1726</v>
      </c>
      <c r="H509" t="s">
        <v>1663</v>
      </c>
      <c r="I509" t="s">
        <v>1652</v>
      </c>
      <c r="J509" t="s">
        <v>1305</v>
      </c>
      <c r="K509" t="s">
        <v>55</v>
      </c>
      <c r="L509" t="s">
        <v>55</v>
      </c>
      <c r="M509" t="s">
        <v>1653</v>
      </c>
    </row>
    <row r="510" spans="1:13" ht="15" customHeight="1" x14ac:dyDescent="0.25">
      <c r="A510" t="s">
        <v>1646</v>
      </c>
      <c r="B510" t="s">
        <v>330</v>
      </c>
      <c r="C510">
        <v>541608</v>
      </c>
      <c r="D510" t="s">
        <v>1723</v>
      </c>
      <c r="E510" t="s">
        <v>1727</v>
      </c>
      <c r="F510" t="s">
        <v>1728</v>
      </c>
      <c r="G510" t="s">
        <v>1729</v>
      </c>
      <c r="H510" t="s">
        <v>1663</v>
      </c>
      <c r="I510" t="s">
        <v>1652</v>
      </c>
      <c r="J510" t="s">
        <v>715</v>
      </c>
      <c r="K510" t="s">
        <v>55</v>
      </c>
      <c r="L510" t="s">
        <v>55</v>
      </c>
      <c r="M510" t="s">
        <v>1669</v>
      </c>
    </row>
    <row r="511" spans="1:13" ht="15" customHeight="1" x14ac:dyDescent="0.25">
      <c r="A511" t="s">
        <v>1646</v>
      </c>
      <c r="B511" t="s">
        <v>330</v>
      </c>
      <c r="C511">
        <v>541673</v>
      </c>
      <c r="D511" t="s">
        <v>1730</v>
      </c>
      <c r="E511" t="s">
        <v>1731</v>
      </c>
      <c r="F511" t="s">
        <v>1732</v>
      </c>
      <c r="G511" t="s">
        <v>1733</v>
      </c>
      <c r="H511" t="s">
        <v>1481</v>
      </c>
      <c r="I511" t="s">
        <v>1652</v>
      </c>
      <c r="J511" t="s">
        <v>615</v>
      </c>
      <c r="K511" t="s">
        <v>55</v>
      </c>
      <c r="L511" t="s">
        <v>55</v>
      </c>
      <c r="M511" t="s">
        <v>1734</v>
      </c>
    </row>
    <row r="512" spans="1:13" ht="15" customHeight="1" x14ac:dyDescent="0.25">
      <c r="A512" t="s">
        <v>1646</v>
      </c>
      <c r="B512" t="s">
        <v>330</v>
      </c>
      <c r="C512">
        <v>541672</v>
      </c>
      <c r="D512" t="s">
        <v>1730</v>
      </c>
      <c r="E512" t="s">
        <v>1735</v>
      </c>
      <c r="F512" t="s">
        <v>1736</v>
      </c>
      <c r="G512" t="s">
        <v>1737</v>
      </c>
      <c r="H512" t="s">
        <v>1481</v>
      </c>
      <c r="I512" t="s">
        <v>1652</v>
      </c>
      <c r="J512" t="s">
        <v>927</v>
      </c>
      <c r="K512" t="s">
        <v>55</v>
      </c>
      <c r="L512" t="s">
        <v>55</v>
      </c>
      <c r="M512" t="s">
        <v>1076</v>
      </c>
    </row>
    <row r="513" spans="1:13" ht="15" customHeight="1" x14ac:dyDescent="0.25">
      <c r="A513" t="s">
        <v>1646</v>
      </c>
      <c r="B513" t="s">
        <v>330</v>
      </c>
      <c r="C513">
        <v>541611</v>
      </c>
      <c r="D513" t="s">
        <v>1738</v>
      </c>
      <c r="E513" t="s">
        <v>1739</v>
      </c>
      <c r="F513" t="s">
        <v>1740</v>
      </c>
      <c r="G513" t="s">
        <v>1741</v>
      </c>
      <c r="H513" t="s">
        <v>1674</v>
      </c>
      <c r="I513" t="s">
        <v>1652</v>
      </c>
      <c r="J513" t="s">
        <v>615</v>
      </c>
      <c r="K513" t="s">
        <v>55</v>
      </c>
      <c r="L513" t="s">
        <v>55</v>
      </c>
      <c r="M513" t="s">
        <v>1237</v>
      </c>
    </row>
    <row r="514" spans="1:13" ht="15" customHeight="1" x14ac:dyDescent="0.25">
      <c r="A514" t="s">
        <v>1646</v>
      </c>
      <c r="B514" t="s">
        <v>330</v>
      </c>
      <c r="C514">
        <v>541709</v>
      </c>
      <c r="D514" t="s">
        <v>1742</v>
      </c>
      <c r="E514" t="s">
        <v>1743</v>
      </c>
      <c r="F514" t="s">
        <v>1744</v>
      </c>
      <c r="G514" t="s">
        <v>1745</v>
      </c>
      <c r="H514" t="s">
        <v>1481</v>
      </c>
      <c r="I514" t="s">
        <v>1652</v>
      </c>
      <c r="J514" t="s">
        <v>720</v>
      </c>
      <c r="K514" t="s">
        <v>55</v>
      </c>
      <c r="L514" t="s">
        <v>55</v>
      </c>
      <c r="M514" t="s">
        <v>1669</v>
      </c>
    </row>
    <row r="515" spans="1:13" ht="15" customHeight="1" x14ac:dyDescent="0.25">
      <c r="A515" t="s">
        <v>1646</v>
      </c>
      <c r="B515" t="s">
        <v>330</v>
      </c>
      <c r="C515">
        <v>541710</v>
      </c>
      <c r="D515" t="s">
        <v>1742</v>
      </c>
      <c r="E515" t="s">
        <v>1746</v>
      </c>
      <c r="F515" t="s">
        <v>1747</v>
      </c>
      <c r="G515" t="s">
        <v>1748</v>
      </c>
      <c r="H515" t="s">
        <v>1481</v>
      </c>
      <c r="I515" t="s">
        <v>1652</v>
      </c>
      <c r="J515" t="s">
        <v>615</v>
      </c>
      <c r="K515" t="s">
        <v>55</v>
      </c>
      <c r="L515" t="s">
        <v>55</v>
      </c>
      <c r="M515" t="s">
        <v>1669</v>
      </c>
    </row>
    <row r="516" spans="1:13" ht="15" customHeight="1" x14ac:dyDescent="0.25">
      <c r="A516" t="s">
        <v>1646</v>
      </c>
      <c r="B516" t="s">
        <v>330</v>
      </c>
      <c r="C516">
        <v>541614</v>
      </c>
      <c r="D516" t="s">
        <v>1749</v>
      </c>
      <c r="E516" t="s">
        <v>1750</v>
      </c>
      <c r="F516" t="s">
        <v>1751</v>
      </c>
      <c r="G516" t="s">
        <v>1752</v>
      </c>
      <c r="H516" t="s">
        <v>1703</v>
      </c>
      <c r="I516" t="s">
        <v>1652</v>
      </c>
      <c r="J516" t="s">
        <v>1305</v>
      </c>
      <c r="K516" t="s">
        <v>55</v>
      </c>
      <c r="L516" t="s">
        <v>55</v>
      </c>
      <c r="M516" t="s">
        <v>827</v>
      </c>
    </row>
    <row r="517" spans="1:13" ht="15" customHeight="1" x14ac:dyDescent="0.25">
      <c r="A517" t="s">
        <v>1646</v>
      </c>
      <c r="B517" t="s">
        <v>330</v>
      </c>
      <c r="C517">
        <v>541628</v>
      </c>
      <c r="D517" t="s">
        <v>1753</v>
      </c>
      <c r="E517" t="s">
        <v>1754</v>
      </c>
      <c r="F517" t="s">
        <v>1755</v>
      </c>
      <c r="G517" t="s">
        <v>1756</v>
      </c>
      <c r="H517" t="s">
        <v>1703</v>
      </c>
      <c r="I517" t="s">
        <v>1652</v>
      </c>
      <c r="J517" t="s">
        <v>1757</v>
      </c>
      <c r="K517" t="s">
        <v>55</v>
      </c>
      <c r="L517" t="s">
        <v>55</v>
      </c>
      <c r="M517" t="s">
        <v>1722</v>
      </c>
    </row>
    <row r="518" spans="1:13" ht="15" customHeight="1" x14ac:dyDescent="0.25">
      <c r="A518" t="s">
        <v>1646</v>
      </c>
      <c r="B518" t="s">
        <v>330</v>
      </c>
      <c r="C518">
        <v>541618</v>
      </c>
      <c r="D518" t="s">
        <v>1758</v>
      </c>
      <c r="E518" t="s">
        <v>1759</v>
      </c>
      <c r="F518" t="s">
        <v>1760</v>
      </c>
      <c r="G518" t="s">
        <v>1761</v>
      </c>
      <c r="H518" t="s">
        <v>1674</v>
      </c>
      <c r="I518" t="s">
        <v>1652</v>
      </c>
      <c r="J518" t="s">
        <v>615</v>
      </c>
      <c r="K518" t="s">
        <v>55</v>
      </c>
      <c r="L518" t="s">
        <v>55</v>
      </c>
      <c r="M518" t="s">
        <v>1704</v>
      </c>
    </row>
    <row r="519" spans="1:13" ht="15" customHeight="1" x14ac:dyDescent="0.25">
      <c r="A519" t="s">
        <v>1646</v>
      </c>
      <c r="B519" t="s">
        <v>330</v>
      </c>
      <c r="C519">
        <v>541768</v>
      </c>
      <c r="D519" t="s">
        <v>1762</v>
      </c>
      <c r="E519" t="s">
        <v>1763</v>
      </c>
      <c r="F519" t="s">
        <v>1764</v>
      </c>
      <c r="G519" t="s">
        <v>1765</v>
      </c>
      <c r="H519" t="s">
        <v>1663</v>
      </c>
      <c r="I519" t="s">
        <v>1652</v>
      </c>
      <c r="J519" t="s">
        <v>615</v>
      </c>
      <c r="K519" t="s">
        <v>55</v>
      </c>
      <c r="L519" t="s">
        <v>55</v>
      </c>
      <c r="M519" t="s">
        <v>1722</v>
      </c>
    </row>
    <row r="520" spans="1:13" ht="15" customHeight="1" x14ac:dyDescent="0.25">
      <c r="A520" t="s">
        <v>1646</v>
      </c>
      <c r="B520" t="s">
        <v>330</v>
      </c>
      <c r="C520">
        <v>541748</v>
      </c>
      <c r="D520" t="s">
        <v>1766</v>
      </c>
      <c r="E520" t="s">
        <v>60</v>
      </c>
      <c r="F520" t="s">
        <v>1767</v>
      </c>
      <c r="G520" t="s">
        <v>1768</v>
      </c>
      <c r="H520" t="s">
        <v>1674</v>
      </c>
      <c r="I520" t="s">
        <v>1652</v>
      </c>
      <c r="J520" t="s">
        <v>1769</v>
      </c>
      <c r="K520" t="s">
        <v>55</v>
      </c>
      <c r="L520" t="s">
        <v>55</v>
      </c>
      <c r="M520" t="s">
        <v>1683</v>
      </c>
    </row>
    <row r="521" spans="1:13" ht="15" customHeight="1" x14ac:dyDescent="0.25">
      <c r="A521" t="s">
        <v>1646</v>
      </c>
      <c r="B521" t="s">
        <v>330</v>
      </c>
      <c r="C521">
        <v>541648</v>
      </c>
      <c r="D521" t="s">
        <v>1770</v>
      </c>
      <c r="E521" t="s">
        <v>1064</v>
      </c>
      <c r="F521" t="s">
        <v>1771</v>
      </c>
      <c r="G521" t="s">
        <v>1772</v>
      </c>
      <c r="H521" t="s">
        <v>1674</v>
      </c>
      <c r="I521" t="s">
        <v>1652</v>
      </c>
      <c r="J521" t="s">
        <v>615</v>
      </c>
      <c r="K521" t="s">
        <v>55</v>
      </c>
      <c r="L521" t="s">
        <v>55</v>
      </c>
      <c r="M521" t="s">
        <v>1698</v>
      </c>
    </row>
    <row r="522" spans="1:13" ht="15" customHeight="1" x14ac:dyDescent="0.25">
      <c r="A522" t="s">
        <v>1646</v>
      </c>
      <c r="B522" t="s">
        <v>330</v>
      </c>
      <c r="C522">
        <v>541617</v>
      </c>
      <c r="D522" t="s">
        <v>1773</v>
      </c>
      <c r="E522" t="s">
        <v>1774</v>
      </c>
      <c r="F522" t="s">
        <v>1775</v>
      </c>
      <c r="G522" t="s">
        <v>1776</v>
      </c>
      <c r="H522" t="s">
        <v>1674</v>
      </c>
      <c r="I522" t="s">
        <v>1652</v>
      </c>
      <c r="J522" t="s">
        <v>615</v>
      </c>
      <c r="K522" t="s">
        <v>55</v>
      </c>
      <c r="L522" t="s">
        <v>55</v>
      </c>
      <c r="M522" t="s">
        <v>1717</v>
      </c>
    </row>
    <row r="523" spans="1:13" ht="15" customHeight="1" x14ac:dyDescent="0.25">
      <c r="A523" t="s">
        <v>1646</v>
      </c>
      <c r="B523" t="s">
        <v>330</v>
      </c>
      <c r="C523">
        <v>541629</v>
      </c>
      <c r="D523" t="s">
        <v>1777</v>
      </c>
      <c r="E523" t="s">
        <v>1778</v>
      </c>
      <c r="F523" t="s">
        <v>1779</v>
      </c>
      <c r="G523" t="s">
        <v>1780</v>
      </c>
      <c r="H523" t="s">
        <v>1703</v>
      </c>
      <c r="I523" t="s">
        <v>1652</v>
      </c>
      <c r="J523" t="s">
        <v>1141</v>
      </c>
      <c r="K523" t="s">
        <v>55</v>
      </c>
      <c r="L523" t="s">
        <v>55</v>
      </c>
      <c r="M523" t="s">
        <v>1237</v>
      </c>
    </row>
    <row r="524" spans="1:13" ht="15" customHeight="1" x14ac:dyDescent="0.25">
      <c r="A524" t="s">
        <v>1781</v>
      </c>
      <c r="B524" t="s">
        <v>301</v>
      </c>
      <c r="C524">
        <v>542735</v>
      </c>
      <c r="D524" t="s">
        <v>1659</v>
      </c>
      <c r="E524" t="s">
        <v>1660</v>
      </c>
      <c r="F524" t="s">
        <v>1661</v>
      </c>
      <c r="G524" t="s">
        <v>1662</v>
      </c>
      <c r="H524" t="s">
        <v>1663</v>
      </c>
      <c r="I524" t="s">
        <v>1652</v>
      </c>
      <c r="J524" t="s">
        <v>615</v>
      </c>
      <c r="K524" t="s">
        <v>55</v>
      </c>
      <c r="L524" t="s">
        <v>55</v>
      </c>
      <c r="M524" t="s">
        <v>1782</v>
      </c>
    </row>
    <row r="525" spans="1:13" ht="15" customHeight="1" x14ac:dyDescent="0.25">
      <c r="A525" t="s">
        <v>1781</v>
      </c>
      <c r="B525" t="s">
        <v>301</v>
      </c>
      <c r="C525">
        <v>543357</v>
      </c>
      <c r="D525" t="s">
        <v>1670</v>
      </c>
      <c r="E525" t="s">
        <v>1671</v>
      </c>
      <c r="F525" t="s">
        <v>1672</v>
      </c>
      <c r="G525" t="s">
        <v>1673</v>
      </c>
      <c r="H525" t="s">
        <v>1674</v>
      </c>
      <c r="I525" t="s">
        <v>1652</v>
      </c>
      <c r="J525" t="s">
        <v>715</v>
      </c>
      <c r="K525" t="s">
        <v>55</v>
      </c>
      <c r="L525" t="s">
        <v>55</v>
      </c>
      <c r="M525" t="s">
        <v>1783</v>
      </c>
    </row>
    <row r="526" spans="1:13" ht="15" customHeight="1" x14ac:dyDescent="0.25">
      <c r="A526" t="s">
        <v>1781</v>
      </c>
      <c r="B526" t="s">
        <v>301</v>
      </c>
      <c r="C526">
        <v>543348</v>
      </c>
      <c r="D526" t="s">
        <v>1675</v>
      </c>
      <c r="E526" t="s">
        <v>1134</v>
      </c>
      <c r="F526" t="s">
        <v>1676</v>
      </c>
      <c r="G526" t="s">
        <v>1677</v>
      </c>
      <c r="H526" t="s">
        <v>1674</v>
      </c>
      <c r="I526" t="s">
        <v>1652</v>
      </c>
      <c r="J526" t="s">
        <v>615</v>
      </c>
      <c r="K526" t="s">
        <v>55</v>
      </c>
      <c r="L526" t="s">
        <v>55</v>
      </c>
      <c r="M526" t="s">
        <v>1784</v>
      </c>
    </row>
    <row r="527" spans="1:13" ht="15" customHeight="1" x14ac:dyDescent="0.25">
      <c r="A527" t="s">
        <v>1781</v>
      </c>
      <c r="B527" t="s">
        <v>301</v>
      </c>
      <c r="C527">
        <v>543351</v>
      </c>
      <c r="D527" t="s">
        <v>1785</v>
      </c>
      <c r="E527" t="s">
        <v>1786</v>
      </c>
      <c r="F527" t="s">
        <v>1787</v>
      </c>
      <c r="G527" t="s">
        <v>1788</v>
      </c>
      <c r="H527" t="s">
        <v>1674</v>
      </c>
      <c r="I527" t="s">
        <v>1652</v>
      </c>
      <c r="J527" t="s">
        <v>703</v>
      </c>
      <c r="K527" t="s">
        <v>55</v>
      </c>
      <c r="L527" t="s">
        <v>55</v>
      </c>
      <c r="M527" t="s">
        <v>1789</v>
      </c>
    </row>
    <row r="528" spans="1:13" ht="15" customHeight="1" x14ac:dyDescent="0.25">
      <c r="A528" t="s">
        <v>1781</v>
      </c>
      <c r="B528" t="s">
        <v>301</v>
      </c>
      <c r="C528">
        <v>543350</v>
      </c>
      <c r="D528" t="s">
        <v>1790</v>
      </c>
      <c r="E528" t="s">
        <v>1791</v>
      </c>
      <c r="F528" t="s">
        <v>1792</v>
      </c>
      <c r="G528" t="s">
        <v>1793</v>
      </c>
      <c r="H528" t="s">
        <v>1651</v>
      </c>
      <c r="I528" t="s">
        <v>1652</v>
      </c>
      <c r="J528" t="s">
        <v>751</v>
      </c>
      <c r="K528" t="s">
        <v>55</v>
      </c>
      <c r="L528" t="s">
        <v>55</v>
      </c>
      <c r="M528" t="s">
        <v>1794</v>
      </c>
    </row>
    <row r="529" spans="1:13" ht="15" customHeight="1" x14ac:dyDescent="0.25">
      <c r="A529" t="s">
        <v>1781</v>
      </c>
      <c r="B529" t="s">
        <v>301</v>
      </c>
      <c r="C529">
        <v>542991</v>
      </c>
      <c r="D529" t="s">
        <v>1679</v>
      </c>
      <c r="E529" t="s">
        <v>1680</v>
      </c>
      <c r="F529" t="s">
        <v>1681</v>
      </c>
      <c r="G529" t="s">
        <v>1682</v>
      </c>
      <c r="H529" t="s">
        <v>1674</v>
      </c>
      <c r="I529" t="s">
        <v>1652</v>
      </c>
      <c r="J529" t="s">
        <v>603</v>
      </c>
      <c r="K529" t="s">
        <v>55</v>
      </c>
      <c r="L529" t="s">
        <v>55</v>
      </c>
      <c r="M529" t="s">
        <v>1795</v>
      </c>
    </row>
    <row r="530" spans="1:13" ht="15" customHeight="1" x14ac:dyDescent="0.25">
      <c r="A530" t="s">
        <v>1781</v>
      </c>
      <c r="B530" t="s">
        <v>301</v>
      </c>
      <c r="C530">
        <v>543598</v>
      </c>
      <c r="D530" t="s">
        <v>1796</v>
      </c>
      <c r="E530" t="s">
        <v>1797</v>
      </c>
      <c r="F530" t="s">
        <v>1798</v>
      </c>
      <c r="G530" t="s">
        <v>1799</v>
      </c>
      <c r="H530" t="s">
        <v>1663</v>
      </c>
      <c r="I530" t="s">
        <v>1652</v>
      </c>
      <c r="J530" t="s">
        <v>620</v>
      </c>
      <c r="K530" t="s">
        <v>55</v>
      </c>
      <c r="L530" t="s">
        <v>55</v>
      </c>
      <c r="M530" t="s">
        <v>1800</v>
      </c>
    </row>
    <row r="531" spans="1:13" ht="15" customHeight="1" x14ac:dyDescent="0.25">
      <c r="A531" t="s">
        <v>1781</v>
      </c>
      <c r="B531" t="s">
        <v>301</v>
      </c>
      <c r="C531">
        <v>542990</v>
      </c>
      <c r="D531" t="s">
        <v>1693</v>
      </c>
      <c r="E531" t="s">
        <v>1694</v>
      </c>
      <c r="F531" t="s">
        <v>1695</v>
      </c>
      <c r="G531" t="s">
        <v>1696</v>
      </c>
      <c r="H531" t="s">
        <v>1674</v>
      </c>
      <c r="I531" t="s">
        <v>1652</v>
      </c>
      <c r="J531" t="s">
        <v>1697</v>
      </c>
      <c r="K531" t="s">
        <v>55</v>
      </c>
      <c r="L531" t="s">
        <v>55</v>
      </c>
      <c r="M531" t="s">
        <v>1795</v>
      </c>
    </row>
    <row r="532" spans="1:13" ht="15" customHeight="1" x14ac:dyDescent="0.25">
      <c r="A532" t="s">
        <v>1781</v>
      </c>
      <c r="B532" t="s">
        <v>301</v>
      </c>
      <c r="C532">
        <v>542736</v>
      </c>
      <c r="D532" t="s">
        <v>1699</v>
      </c>
      <c r="E532" t="s">
        <v>1700</v>
      </c>
      <c r="F532" t="s">
        <v>1701</v>
      </c>
      <c r="G532" t="s">
        <v>1702</v>
      </c>
      <c r="H532" t="s">
        <v>1703</v>
      </c>
      <c r="I532" t="s">
        <v>1652</v>
      </c>
      <c r="J532" t="s">
        <v>637</v>
      </c>
      <c r="K532" t="s">
        <v>55</v>
      </c>
      <c r="L532" t="s">
        <v>55</v>
      </c>
      <c r="M532" t="s">
        <v>1783</v>
      </c>
    </row>
    <row r="533" spans="1:13" ht="15" customHeight="1" x14ac:dyDescent="0.25">
      <c r="A533" t="s">
        <v>1781</v>
      </c>
      <c r="B533" t="s">
        <v>301</v>
      </c>
      <c r="C533">
        <v>543352</v>
      </c>
      <c r="D533" t="s">
        <v>1705</v>
      </c>
      <c r="E533" t="s">
        <v>1706</v>
      </c>
      <c r="F533" t="s">
        <v>1707</v>
      </c>
      <c r="G533" t="s">
        <v>1708</v>
      </c>
      <c r="H533" t="s">
        <v>1674</v>
      </c>
      <c r="I533" t="s">
        <v>1652</v>
      </c>
      <c r="J533" t="s">
        <v>620</v>
      </c>
      <c r="K533" t="s">
        <v>55</v>
      </c>
      <c r="L533" t="s">
        <v>55</v>
      </c>
      <c r="M533" t="s">
        <v>1801</v>
      </c>
    </row>
    <row r="534" spans="1:13" ht="15" customHeight="1" x14ac:dyDescent="0.25">
      <c r="A534" t="s">
        <v>1781</v>
      </c>
      <c r="B534" t="s">
        <v>301</v>
      </c>
      <c r="C534">
        <v>542741</v>
      </c>
      <c r="D534" t="s">
        <v>1713</v>
      </c>
      <c r="E534" t="s">
        <v>1714</v>
      </c>
      <c r="F534" t="s">
        <v>1715</v>
      </c>
      <c r="G534" t="s">
        <v>1716</v>
      </c>
      <c r="H534" t="s">
        <v>1481</v>
      </c>
      <c r="I534" t="s">
        <v>1652</v>
      </c>
      <c r="J534" t="s">
        <v>620</v>
      </c>
      <c r="K534" t="s">
        <v>55</v>
      </c>
      <c r="L534" t="s">
        <v>55</v>
      </c>
      <c r="M534" t="s">
        <v>1802</v>
      </c>
    </row>
    <row r="535" spans="1:13" ht="15" customHeight="1" x14ac:dyDescent="0.25">
      <c r="A535" t="s">
        <v>1781</v>
      </c>
      <c r="B535" t="s">
        <v>301</v>
      </c>
      <c r="C535">
        <v>543349</v>
      </c>
      <c r="D535" t="s">
        <v>1803</v>
      </c>
      <c r="E535" t="s">
        <v>1804</v>
      </c>
      <c r="F535" t="s">
        <v>1805</v>
      </c>
      <c r="G535" t="s">
        <v>1806</v>
      </c>
      <c r="H535" t="s">
        <v>1481</v>
      </c>
      <c r="I535" t="s">
        <v>1652</v>
      </c>
      <c r="J535" t="s">
        <v>955</v>
      </c>
      <c r="K535" t="s">
        <v>55</v>
      </c>
      <c r="L535" t="s">
        <v>55</v>
      </c>
      <c r="M535" t="s">
        <v>1800</v>
      </c>
    </row>
    <row r="536" spans="1:13" ht="15" customHeight="1" x14ac:dyDescent="0.25">
      <c r="A536" t="s">
        <v>1781</v>
      </c>
      <c r="B536" t="s">
        <v>301</v>
      </c>
      <c r="C536">
        <v>542737</v>
      </c>
      <c r="D536" t="s">
        <v>1807</v>
      </c>
      <c r="E536" t="s">
        <v>1706</v>
      </c>
      <c r="F536" t="s">
        <v>1808</v>
      </c>
      <c r="G536" t="s">
        <v>1809</v>
      </c>
      <c r="H536" t="s">
        <v>1674</v>
      </c>
      <c r="I536" t="s">
        <v>1652</v>
      </c>
      <c r="J536" t="s">
        <v>715</v>
      </c>
      <c r="K536" t="s">
        <v>55</v>
      </c>
      <c r="L536" t="s">
        <v>55</v>
      </c>
      <c r="M536" t="s">
        <v>1810</v>
      </c>
    </row>
    <row r="537" spans="1:13" ht="15" customHeight="1" x14ac:dyDescent="0.25">
      <c r="A537" t="s">
        <v>1781</v>
      </c>
      <c r="B537" t="s">
        <v>301</v>
      </c>
      <c r="C537">
        <v>543356</v>
      </c>
      <c r="D537" t="s">
        <v>1718</v>
      </c>
      <c r="E537" t="s">
        <v>1719</v>
      </c>
      <c r="F537" t="s">
        <v>1720</v>
      </c>
      <c r="G537" t="s">
        <v>1721</v>
      </c>
      <c r="H537" t="s">
        <v>1674</v>
      </c>
      <c r="I537" t="s">
        <v>1652</v>
      </c>
      <c r="J537" t="s">
        <v>603</v>
      </c>
      <c r="K537" t="s">
        <v>55</v>
      </c>
      <c r="L537" t="s">
        <v>55</v>
      </c>
      <c r="M537" t="s">
        <v>1811</v>
      </c>
    </row>
    <row r="538" spans="1:13" ht="15" customHeight="1" x14ac:dyDescent="0.25">
      <c r="A538" t="s">
        <v>1781</v>
      </c>
      <c r="B538" t="s">
        <v>301</v>
      </c>
      <c r="C538">
        <v>542734</v>
      </c>
      <c r="D538" t="s">
        <v>1723</v>
      </c>
      <c r="E538" t="s">
        <v>1724</v>
      </c>
      <c r="F538" t="s">
        <v>1725</v>
      </c>
      <c r="G538" t="s">
        <v>1726</v>
      </c>
      <c r="H538" t="s">
        <v>1663</v>
      </c>
      <c r="I538" t="s">
        <v>1652</v>
      </c>
      <c r="J538" t="s">
        <v>1305</v>
      </c>
      <c r="K538" t="s">
        <v>55</v>
      </c>
      <c r="L538" t="s">
        <v>55</v>
      </c>
      <c r="M538" t="s">
        <v>1812</v>
      </c>
    </row>
    <row r="539" spans="1:13" ht="15" customHeight="1" x14ac:dyDescent="0.25">
      <c r="A539" t="s">
        <v>1781</v>
      </c>
      <c r="B539" t="s">
        <v>301</v>
      </c>
      <c r="C539">
        <v>542739</v>
      </c>
      <c r="D539" t="s">
        <v>1738</v>
      </c>
      <c r="E539" t="s">
        <v>1739</v>
      </c>
      <c r="F539" t="s">
        <v>1740</v>
      </c>
      <c r="G539" t="s">
        <v>1741</v>
      </c>
      <c r="H539" t="s">
        <v>1674</v>
      </c>
      <c r="I539" t="s">
        <v>1652</v>
      </c>
      <c r="J539" t="s">
        <v>615</v>
      </c>
      <c r="K539" t="s">
        <v>55</v>
      </c>
      <c r="L539" t="s">
        <v>55</v>
      </c>
      <c r="M539" t="s">
        <v>1813</v>
      </c>
    </row>
    <row r="540" spans="1:13" ht="15" customHeight="1" x14ac:dyDescent="0.25">
      <c r="A540" t="s">
        <v>1781</v>
      </c>
      <c r="B540" t="s">
        <v>301</v>
      </c>
      <c r="C540">
        <v>543368</v>
      </c>
      <c r="D540" t="s">
        <v>1814</v>
      </c>
      <c r="E540" t="s">
        <v>1815</v>
      </c>
      <c r="F540" t="s">
        <v>1816</v>
      </c>
      <c r="G540" t="s">
        <v>1817</v>
      </c>
      <c r="H540" t="s">
        <v>1481</v>
      </c>
      <c r="I540" t="s">
        <v>1652</v>
      </c>
      <c r="J540" t="s">
        <v>603</v>
      </c>
      <c r="K540" t="s">
        <v>55</v>
      </c>
      <c r="L540" t="s">
        <v>55</v>
      </c>
      <c r="M540" t="s">
        <v>1818</v>
      </c>
    </row>
    <row r="541" spans="1:13" ht="15" customHeight="1" x14ac:dyDescent="0.25">
      <c r="A541" t="s">
        <v>1781</v>
      </c>
      <c r="B541" t="s">
        <v>301</v>
      </c>
      <c r="C541">
        <v>543389</v>
      </c>
      <c r="D541" t="s">
        <v>1742</v>
      </c>
      <c r="E541" t="s">
        <v>1743</v>
      </c>
      <c r="F541" t="s">
        <v>1744</v>
      </c>
      <c r="G541" t="s">
        <v>1745</v>
      </c>
      <c r="H541" t="s">
        <v>1481</v>
      </c>
      <c r="I541" t="s">
        <v>1652</v>
      </c>
      <c r="J541" t="s">
        <v>720</v>
      </c>
      <c r="K541" t="s">
        <v>55</v>
      </c>
      <c r="L541" t="s">
        <v>55</v>
      </c>
      <c r="M541" t="s">
        <v>1783</v>
      </c>
    </row>
    <row r="542" spans="1:13" ht="15" customHeight="1" x14ac:dyDescent="0.25">
      <c r="A542" t="s">
        <v>1781</v>
      </c>
      <c r="B542" t="s">
        <v>301</v>
      </c>
      <c r="C542">
        <v>542740</v>
      </c>
      <c r="D542" t="s">
        <v>1749</v>
      </c>
      <c r="E542" t="s">
        <v>1750</v>
      </c>
      <c r="F542" t="s">
        <v>1751</v>
      </c>
      <c r="G542" t="s">
        <v>1752</v>
      </c>
      <c r="H542" t="s">
        <v>1703</v>
      </c>
      <c r="I542" t="s">
        <v>1652</v>
      </c>
      <c r="J542" t="s">
        <v>1305</v>
      </c>
      <c r="K542" t="s">
        <v>55</v>
      </c>
      <c r="L542" t="s">
        <v>55</v>
      </c>
      <c r="M542" t="s">
        <v>1819</v>
      </c>
    </row>
    <row r="543" spans="1:13" ht="15" customHeight="1" x14ac:dyDescent="0.25">
      <c r="A543" t="s">
        <v>1781</v>
      </c>
      <c r="B543" t="s">
        <v>301</v>
      </c>
      <c r="C543">
        <v>543354</v>
      </c>
      <c r="D543" t="s">
        <v>1753</v>
      </c>
      <c r="E543" t="s">
        <v>1754</v>
      </c>
      <c r="F543" t="s">
        <v>1755</v>
      </c>
      <c r="G543" t="s">
        <v>1756</v>
      </c>
      <c r="H543" t="s">
        <v>1703</v>
      </c>
      <c r="I543" t="s">
        <v>1652</v>
      </c>
      <c r="J543" t="s">
        <v>1757</v>
      </c>
      <c r="K543" t="s">
        <v>55</v>
      </c>
      <c r="L543" t="s">
        <v>55</v>
      </c>
      <c r="M543" t="s">
        <v>1795</v>
      </c>
    </row>
    <row r="544" spans="1:13" ht="15" customHeight="1" x14ac:dyDescent="0.25">
      <c r="A544" t="s">
        <v>1781</v>
      </c>
      <c r="B544" t="s">
        <v>301</v>
      </c>
      <c r="C544">
        <v>543388</v>
      </c>
      <c r="D544" t="s">
        <v>1820</v>
      </c>
      <c r="E544" t="s">
        <v>1821</v>
      </c>
      <c r="F544" t="s">
        <v>1822</v>
      </c>
      <c r="G544" t="s">
        <v>1823</v>
      </c>
      <c r="H544" t="s">
        <v>1651</v>
      </c>
      <c r="I544" t="s">
        <v>1652</v>
      </c>
      <c r="J544" t="s">
        <v>615</v>
      </c>
      <c r="K544" t="s">
        <v>55</v>
      </c>
      <c r="L544" t="s">
        <v>55</v>
      </c>
      <c r="M544" t="s">
        <v>1782</v>
      </c>
    </row>
    <row r="545" spans="1:13" ht="15" customHeight="1" x14ac:dyDescent="0.25">
      <c r="A545" t="s">
        <v>1781</v>
      </c>
      <c r="B545" t="s">
        <v>301</v>
      </c>
      <c r="C545">
        <v>542738</v>
      </c>
      <c r="D545" t="s">
        <v>1766</v>
      </c>
      <c r="E545" t="s">
        <v>60</v>
      </c>
      <c r="F545" t="s">
        <v>1767</v>
      </c>
      <c r="G545" t="s">
        <v>1768</v>
      </c>
      <c r="H545" t="s">
        <v>1674</v>
      </c>
      <c r="I545" t="s">
        <v>1652</v>
      </c>
      <c r="J545" t="s">
        <v>1769</v>
      </c>
      <c r="K545" t="s">
        <v>55</v>
      </c>
      <c r="L545" t="s">
        <v>55</v>
      </c>
      <c r="M545" t="s">
        <v>1800</v>
      </c>
    </row>
    <row r="546" spans="1:13" ht="15" customHeight="1" x14ac:dyDescent="0.25">
      <c r="A546" t="s">
        <v>1781</v>
      </c>
      <c r="B546" t="s">
        <v>301</v>
      </c>
      <c r="C546">
        <v>543355</v>
      </c>
      <c r="D546" t="s">
        <v>1770</v>
      </c>
      <c r="E546" t="s">
        <v>1064</v>
      </c>
      <c r="F546" t="s">
        <v>1771</v>
      </c>
      <c r="G546" t="s">
        <v>1772</v>
      </c>
      <c r="H546" t="s">
        <v>1674</v>
      </c>
      <c r="I546" t="s">
        <v>1652</v>
      </c>
      <c r="J546" t="s">
        <v>615</v>
      </c>
      <c r="K546" t="s">
        <v>55</v>
      </c>
      <c r="L546" t="s">
        <v>55</v>
      </c>
      <c r="M546" t="s">
        <v>1824</v>
      </c>
    </row>
    <row r="547" spans="1:13" ht="15" customHeight="1" x14ac:dyDescent="0.25">
      <c r="A547" t="s">
        <v>1781</v>
      </c>
      <c r="B547" t="s">
        <v>301</v>
      </c>
      <c r="C547">
        <v>542989</v>
      </c>
      <c r="D547" t="s">
        <v>1773</v>
      </c>
      <c r="E547" t="s">
        <v>1774</v>
      </c>
      <c r="F547" t="s">
        <v>1775</v>
      </c>
      <c r="G547" t="s">
        <v>1776</v>
      </c>
      <c r="H547" t="s">
        <v>1674</v>
      </c>
      <c r="I547" t="s">
        <v>1652</v>
      </c>
      <c r="J547" t="s">
        <v>615</v>
      </c>
      <c r="K547" t="s">
        <v>55</v>
      </c>
      <c r="L547" t="s">
        <v>55</v>
      </c>
      <c r="M547" t="s">
        <v>1802</v>
      </c>
    </row>
    <row r="548" spans="1:13" ht="15" customHeight="1" x14ac:dyDescent="0.25">
      <c r="A548" t="s">
        <v>1781</v>
      </c>
      <c r="B548" t="s">
        <v>301</v>
      </c>
      <c r="C548">
        <v>543353</v>
      </c>
      <c r="D548" t="s">
        <v>1777</v>
      </c>
      <c r="E548" t="s">
        <v>1778</v>
      </c>
      <c r="F548" t="s">
        <v>1779</v>
      </c>
      <c r="G548" t="s">
        <v>1780</v>
      </c>
      <c r="H548" t="s">
        <v>1703</v>
      </c>
      <c r="I548" t="s">
        <v>1652</v>
      </c>
      <c r="J548" t="s">
        <v>1141</v>
      </c>
      <c r="K548" t="s">
        <v>55</v>
      </c>
      <c r="L548" t="s">
        <v>55</v>
      </c>
      <c r="M548" t="s">
        <v>1824</v>
      </c>
    </row>
    <row r="549" spans="1:13" ht="15" customHeight="1" x14ac:dyDescent="0.25">
      <c r="A549" t="s">
        <v>1825</v>
      </c>
      <c r="B549" t="s">
        <v>327</v>
      </c>
      <c r="C549">
        <v>544069</v>
      </c>
      <c r="D549" t="s">
        <v>1424</v>
      </c>
      <c r="E549" t="s">
        <v>1425</v>
      </c>
      <c r="F549" t="s">
        <v>1426</v>
      </c>
      <c r="G549" t="s">
        <v>1427</v>
      </c>
      <c r="H549" t="s">
        <v>1199</v>
      </c>
      <c r="I549" t="s">
        <v>1428</v>
      </c>
      <c r="J549" t="s">
        <v>770</v>
      </c>
      <c r="K549" t="s">
        <v>55</v>
      </c>
      <c r="L549" t="s">
        <v>55</v>
      </c>
      <c r="M549" t="s">
        <v>1639</v>
      </c>
    </row>
    <row r="550" spans="1:13" ht="15" customHeight="1" x14ac:dyDescent="0.25">
      <c r="A550" t="s">
        <v>1825</v>
      </c>
      <c r="B550" t="s">
        <v>327</v>
      </c>
      <c r="C550">
        <v>544090</v>
      </c>
      <c r="D550" t="s">
        <v>1430</v>
      </c>
      <c r="E550" t="s">
        <v>1431</v>
      </c>
      <c r="F550" t="s">
        <v>1432</v>
      </c>
      <c r="G550" t="s">
        <v>1433</v>
      </c>
      <c r="H550" t="s">
        <v>999</v>
      </c>
      <c r="I550" t="s">
        <v>1428</v>
      </c>
      <c r="J550" t="s">
        <v>1305</v>
      </c>
      <c r="K550" t="s">
        <v>55</v>
      </c>
      <c r="L550" t="s">
        <v>55</v>
      </c>
      <c r="M550" t="s">
        <v>1434</v>
      </c>
    </row>
    <row r="551" spans="1:13" ht="15" customHeight="1" x14ac:dyDescent="0.25">
      <c r="A551" t="s">
        <v>1825</v>
      </c>
      <c r="B551" t="s">
        <v>327</v>
      </c>
      <c r="C551">
        <v>543655</v>
      </c>
      <c r="D551" t="s">
        <v>1435</v>
      </c>
      <c r="E551" t="s">
        <v>1436</v>
      </c>
      <c r="F551" t="s">
        <v>1437</v>
      </c>
      <c r="G551" t="s">
        <v>1438</v>
      </c>
      <c r="H551" t="s">
        <v>1008</v>
      </c>
      <c r="I551" t="s">
        <v>1428</v>
      </c>
      <c r="J551" t="s">
        <v>809</v>
      </c>
      <c r="K551" t="s">
        <v>55</v>
      </c>
      <c r="L551" t="s">
        <v>55</v>
      </c>
      <c r="M551" t="s">
        <v>1439</v>
      </c>
    </row>
    <row r="552" spans="1:13" ht="15" customHeight="1" x14ac:dyDescent="0.25">
      <c r="A552" t="s">
        <v>1825</v>
      </c>
      <c r="B552" t="s">
        <v>327</v>
      </c>
      <c r="C552">
        <v>543710</v>
      </c>
      <c r="D552" t="s">
        <v>1440</v>
      </c>
      <c r="E552" t="s">
        <v>1441</v>
      </c>
      <c r="F552" t="s">
        <v>1442</v>
      </c>
      <c r="G552" t="s">
        <v>1443</v>
      </c>
      <c r="H552" t="s">
        <v>999</v>
      </c>
      <c r="I552" t="s">
        <v>1428</v>
      </c>
      <c r="J552" t="s">
        <v>609</v>
      </c>
      <c r="K552" t="s">
        <v>55</v>
      </c>
      <c r="L552" t="s">
        <v>55</v>
      </c>
      <c r="M552" t="s">
        <v>1444</v>
      </c>
    </row>
    <row r="553" spans="1:13" ht="15" customHeight="1" x14ac:dyDescent="0.25">
      <c r="A553" t="s">
        <v>1825</v>
      </c>
      <c r="B553" t="s">
        <v>327</v>
      </c>
      <c r="C553">
        <v>543503</v>
      </c>
      <c r="D553" t="s">
        <v>1445</v>
      </c>
      <c r="E553" t="s">
        <v>683</v>
      </c>
      <c r="F553" t="s">
        <v>1446</v>
      </c>
      <c r="G553" t="s">
        <v>1447</v>
      </c>
      <c r="H553" t="s">
        <v>999</v>
      </c>
      <c r="I553" t="s">
        <v>1428</v>
      </c>
      <c r="J553" t="s">
        <v>715</v>
      </c>
      <c r="K553" t="s">
        <v>55</v>
      </c>
      <c r="L553" t="s">
        <v>55</v>
      </c>
      <c r="M553" t="s">
        <v>1448</v>
      </c>
    </row>
    <row r="554" spans="1:13" ht="15" customHeight="1" x14ac:dyDescent="0.25">
      <c r="A554" t="s">
        <v>1825</v>
      </c>
      <c r="B554" t="s">
        <v>327</v>
      </c>
      <c r="C554">
        <v>543599</v>
      </c>
      <c r="D554" t="s">
        <v>1449</v>
      </c>
      <c r="E554" t="s">
        <v>1450</v>
      </c>
      <c r="F554" t="s">
        <v>1451</v>
      </c>
      <c r="G554" t="s">
        <v>1452</v>
      </c>
      <c r="H554" t="s">
        <v>999</v>
      </c>
      <c r="I554" t="s">
        <v>1428</v>
      </c>
      <c r="J554" t="s">
        <v>777</v>
      </c>
      <c r="K554" t="s">
        <v>55</v>
      </c>
      <c r="L554" t="s">
        <v>55</v>
      </c>
      <c r="M554" t="s">
        <v>1453</v>
      </c>
    </row>
    <row r="555" spans="1:13" ht="15" customHeight="1" x14ac:dyDescent="0.25">
      <c r="A555" t="s">
        <v>1825</v>
      </c>
      <c r="B555" t="s">
        <v>327</v>
      </c>
      <c r="C555">
        <v>543601</v>
      </c>
      <c r="D555" t="s">
        <v>1331</v>
      </c>
      <c r="E555" t="s">
        <v>1332</v>
      </c>
      <c r="F555" t="s">
        <v>1333</v>
      </c>
      <c r="G555" t="s">
        <v>1334</v>
      </c>
      <c r="H555" t="s">
        <v>1199</v>
      </c>
      <c r="I555" t="s">
        <v>1428</v>
      </c>
      <c r="J555" t="s">
        <v>1335</v>
      </c>
      <c r="K555" t="s">
        <v>55</v>
      </c>
      <c r="L555" t="s">
        <v>55</v>
      </c>
      <c r="M555" t="s">
        <v>1454</v>
      </c>
    </row>
    <row r="556" spans="1:13" ht="15" customHeight="1" x14ac:dyDescent="0.25">
      <c r="A556" t="s">
        <v>1825</v>
      </c>
      <c r="B556" t="s">
        <v>327</v>
      </c>
      <c r="C556">
        <v>543502</v>
      </c>
      <c r="D556" t="s">
        <v>1455</v>
      </c>
      <c r="E556" t="s">
        <v>60</v>
      </c>
      <c r="F556" t="s">
        <v>1456</v>
      </c>
      <c r="G556" t="s">
        <v>1457</v>
      </c>
      <c r="H556" t="s">
        <v>999</v>
      </c>
      <c r="I556" t="s">
        <v>1428</v>
      </c>
      <c r="J556" t="s">
        <v>1458</v>
      </c>
      <c r="K556" t="s">
        <v>55</v>
      </c>
      <c r="L556" t="s">
        <v>55</v>
      </c>
      <c r="M556" t="s">
        <v>1459</v>
      </c>
    </row>
    <row r="557" spans="1:13" ht="15" customHeight="1" x14ac:dyDescent="0.25">
      <c r="A557" t="s">
        <v>1825</v>
      </c>
      <c r="B557" t="s">
        <v>327</v>
      </c>
      <c r="C557">
        <v>543659</v>
      </c>
      <c r="D557" t="s">
        <v>1460</v>
      </c>
      <c r="E557" t="s">
        <v>1461</v>
      </c>
      <c r="F557" t="s">
        <v>1462</v>
      </c>
      <c r="G557" t="s">
        <v>1463</v>
      </c>
      <c r="H557" t="s">
        <v>1464</v>
      </c>
      <c r="I557" t="s">
        <v>1428</v>
      </c>
      <c r="J557" t="s">
        <v>660</v>
      </c>
      <c r="K557" t="s">
        <v>55</v>
      </c>
      <c r="L557" t="s">
        <v>55</v>
      </c>
      <c r="M557" t="s">
        <v>1465</v>
      </c>
    </row>
    <row r="558" spans="1:13" ht="15" customHeight="1" x14ac:dyDescent="0.25">
      <c r="A558" t="s">
        <v>1825</v>
      </c>
      <c r="B558" t="s">
        <v>327</v>
      </c>
      <c r="C558">
        <v>544091</v>
      </c>
      <c r="D558" t="s">
        <v>1466</v>
      </c>
      <c r="E558" t="s">
        <v>1467</v>
      </c>
      <c r="F558" t="s">
        <v>1468</v>
      </c>
      <c r="G558" t="s">
        <v>1469</v>
      </c>
      <c r="H558" t="s">
        <v>1464</v>
      </c>
      <c r="I558" t="s">
        <v>1428</v>
      </c>
      <c r="J558" t="s">
        <v>620</v>
      </c>
      <c r="K558" t="s">
        <v>55</v>
      </c>
      <c r="L558" t="s">
        <v>55</v>
      </c>
      <c r="M558" t="s">
        <v>1826</v>
      </c>
    </row>
    <row r="559" spans="1:13" ht="15" customHeight="1" x14ac:dyDescent="0.25">
      <c r="A559" t="s">
        <v>1825</v>
      </c>
      <c r="B559" t="s">
        <v>327</v>
      </c>
      <c r="C559">
        <v>543509</v>
      </c>
      <c r="D559" t="s">
        <v>1471</v>
      </c>
      <c r="E559" t="s">
        <v>1472</v>
      </c>
      <c r="F559" t="s">
        <v>1473</v>
      </c>
      <c r="G559" t="s">
        <v>1474</v>
      </c>
      <c r="H559" t="s">
        <v>1475</v>
      </c>
      <c r="I559" t="s">
        <v>1428</v>
      </c>
      <c r="J559" t="s">
        <v>1263</v>
      </c>
      <c r="K559" t="s">
        <v>55</v>
      </c>
      <c r="L559" t="s">
        <v>55</v>
      </c>
      <c r="M559" t="s">
        <v>1476</v>
      </c>
    </row>
    <row r="560" spans="1:13" ht="15" customHeight="1" x14ac:dyDescent="0.25">
      <c r="A560" t="s">
        <v>1825</v>
      </c>
      <c r="B560" t="s">
        <v>327</v>
      </c>
      <c r="C560">
        <v>543711</v>
      </c>
      <c r="D560" t="s">
        <v>1477</v>
      </c>
      <c r="E560" t="s">
        <v>1478</v>
      </c>
      <c r="F560" t="s">
        <v>1479</v>
      </c>
      <c r="G560" t="s">
        <v>1480</v>
      </c>
      <c r="H560" t="s">
        <v>1481</v>
      </c>
      <c r="I560" t="s">
        <v>1428</v>
      </c>
      <c r="J560" t="s">
        <v>631</v>
      </c>
      <c r="K560" t="s">
        <v>55</v>
      </c>
      <c r="L560" t="s">
        <v>55</v>
      </c>
      <c r="M560" t="s">
        <v>1482</v>
      </c>
    </row>
    <row r="561" spans="1:13" ht="15" customHeight="1" x14ac:dyDescent="0.25">
      <c r="A561" t="s">
        <v>1825</v>
      </c>
      <c r="B561" t="s">
        <v>327</v>
      </c>
      <c r="C561">
        <v>543499</v>
      </c>
      <c r="D561" t="s">
        <v>1483</v>
      </c>
      <c r="E561" t="s">
        <v>1484</v>
      </c>
      <c r="F561" t="s">
        <v>1485</v>
      </c>
      <c r="G561" t="s">
        <v>1486</v>
      </c>
      <c r="H561" t="s">
        <v>1464</v>
      </c>
      <c r="I561" t="s">
        <v>1428</v>
      </c>
      <c r="J561" t="s">
        <v>751</v>
      </c>
      <c r="K561" t="s">
        <v>55</v>
      </c>
      <c r="L561" t="s">
        <v>55</v>
      </c>
      <c r="M561" t="s">
        <v>1487</v>
      </c>
    </row>
    <row r="562" spans="1:13" ht="15" customHeight="1" x14ac:dyDescent="0.25">
      <c r="A562" t="s">
        <v>1825</v>
      </c>
      <c r="B562" t="s">
        <v>327</v>
      </c>
      <c r="C562">
        <v>543507</v>
      </c>
      <c r="D562" t="s">
        <v>1342</v>
      </c>
      <c r="E562" t="s">
        <v>1346</v>
      </c>
      <c r="F562" t="s">
        <v>1347</v>
      </c>
      <c r="G562" t="s">
        <v>1348</v>
      </c>
      <c r="H562" t="s">
        <v>1199</v>
      </c>
      <c r="I562" t="s">
        <v>1428</v>
      </c>
      <c r="J562" t="s">
        <v>1349</v>
      </c>
      <c r="K562" t="s">
        <v>55</v>
      </c>
      <c r="L562" t="s">
        <v>55</v>
      </c>
      <c r="M562" t="s">
        <v>1429</v>
      </c>
    </row>
    <row r="563" spans="1:13" ht="15" customHeight="1" x14ac:dyDescent="0.25">
      <c r="A563" t="s">
        <v>1825</v>
      </c>
      <c r="B563" t="s">
        <v>327</v>
      </c>
      <c r="C563">
        <v>543512</v>
      </c>
      <c r="D563" t="s">
        <v>1488</v>
      </c>
      <c r="E563" t="s">
        <v>1489</v>
      </c>
      <c r="F563" t="s">
        <v>1490</v>
      </c>
      <c r="G563" t="s">
        <v>1491</v>
      </c>
      <c r="H563" t="s">
        <v>757</v>
      </c>
      <c r="I563" t="s">
        <v>1428</v>
      </c>
      <c r="J563" t="s">
        <v>770</v>
      </c>
      <c r="K563" t="s">
        <v>55</v>
      </c>
      <c r="L563" t="s">
        <v>55</v>
      </c>
      <c r="M563" t="s">
        <v>1612</v>
      </c>
    </row>
    <row r="564" spans="1:13" ht="15" customHeight="1" x14ac:dyDescent="0.25">
      <c r="A564" t="s">
        <v>1825</v>
      </c>
      <c r="B564" t="s">
        <v>327</v>
      </c>
      <c r="C564">
        <v>543592</v>
      </c>
      <c r="D564" t="s">
        <v>1492</v>
      </c>
      <c r="E564" t="s">
        <v>1496</v>
      </c>
      <c r="F564" t="s">
        <v>1497</v>
      </c>
      <c r="G564" t="s">
        <v>1498</v>
      </c>
      <c r="H564" t="s">
        <v>1199</v>
      </c>
      <c r="I564" t="s">
        <v>1428</v>
      </c>
      <c r="J564" t="s">
        <v>637</v>
      </c>
      <c r="K564" t="s">
        <v>55</v>
      </c>
      <c r="L564" t="s">
        <v>55</v>
      </c>
      <c r="M564" t="s">
        <v>1453</v>
      </c>
    </row>
    <row r="565" spans="1:13" ht="15" customHeight="1" x14ac:dyDescent="0.25">
      <c r="A565" t="s">
        <v>1825</v>
      </c>
      <c r="B565" t="s">
        <v>327</v>
      </c>
      <c r="C565">
        <v>543593</v>
      </c>
      <c r="D565" t="s">
        <v>1492</v>
      </c>
      <c r="E565" t="s">
        <v>1493</v>
      </c>
      <c r="F565" t="s">
        <v>1494</v>
      </c>
      <c r="G565" t="s">
        <v>1495</v>
      </c>
      <c r="H565" t="s">
        <v>1199</v>
      </c>
      <c r="I565" t="s">
        <v>1428</v>
      </c>
      <c r="J565" t="s">
        <v>615</v>
      </c>
      <c r="K565" t="s">
        <v>55</v>
      </c>
      <c r="L565" t="s">
        <v>55</v>
      </c>
      <c r="M565" t="s">
        <v>1459</v>
      </c>
    </row>
    <row r="566" spans="1:13" ht="15" customHeight="1" x14ac:dyDescent="0.25">
      <c r="A566" t="s">
        <v>1825</v>
      </c>
      <c r="B566" t="s">
        <v>327</v>
      </c>
      <c r="C566">
        <v>544128</v>
      </c>
      <c r="D566" t="s">
        <v>1499</v>
      </c>
      <c r="E566" t="s">
        <v>1500</v>
      </c>
      <c r="F566" t="s">
        <v>1501</v>
      </c>
      <c r="G566" t="s">
        <v>1502</v>
      </c>
      <c r="H566" t="s">
        <v>1050</v>
      </c>
      <c r="I566" t="s">
        <v>1428</v>
      </c>
      <c r="J566" t="s">
        <v>1075</v>
      </c>
      <c r="K566" t="s">
        <v>55</v>
      </c>
      <c r="L566" t="s">
        <v>55</v>
      </c>
      <c r="M566" t="s">
        <v>1503</v>
      </c>
    </row>
    <row r="567" spans="1:13" ht="15" customHeight="1" x14ac:dyDescent="0.25">
      <c r="A567" t="s">
        <v>1825</v>
      </c>
      <c r="B567" t="s">
        <v>327</v>
      </c>
      <c r="C567">
        <v>543500</v>
      </c>
      <c r="D567" t="s">
        <v>1504</v>
      </c>
      <c r="E567" t="s">
        <v>1505</v>
      </c>
      <c r="F567" t="s">
        <v>1506</v>
      </c>
      <c r="G567" t="s">
        <v>1507</v>
      </c>
      <c r="H567" t="s">
        <v>1508</v>
      </c>
      <c r="I567" t="s">
        <v>1428</v>
      </c>
      <c r="J567" t="s">
        <v>615</v>
      </c>
      <c r="K567" t="s">
        <v>55</v>
      </c>
      <c r="L567" t="s">
        <v>55</v>
      </c>
      <c r="M567" t="s">
        <v>1509</v>
      </c>
    </row>
    <row r="568" spans="1:13" ht="15" customHeight="1" x14ac:dyDescent="0.25">
      <c r="A568" t="s">
        <v>1825</v>
      </c>
      <c r="B568" t="s">
        <v>327</v>
      </c>
      <c r="C568">
        <v>543668</v>
      </c>
      <c r="D568" t="s">
        <v>1510</v>
      </c>
      <c r="E568" t="s">
        <v>1511</v>
      </c>
      <c r="F568" t="s">
        <v>1512</v>
      </c>
      <c r="G568" t="s">
        <v>1513</v>
      </c>
      <c r="H568" t="s">
        <v>803</v>
      </c>
      <c r="I568" t="s">
        <v>1428</v>
      </c>
      <c r="J568" t="s">
        <v>615</v>
      </c>
      <c r="K568" t="s">
        <v>55</v>
      </c>
      <c r="L568" t="s">
        <v>55</v>
      </c>
      <c r="M568" t="s">
        <v>1470</v>
      </c>
    </row>
    <row r="569" spans="1:13" ht="15" customHeight="1" x14ac:dyDescent="0.25">
      <c r="A569" t="s">
        <v>1825</v>
      </c>
      <c r="B569" t="s">
        <v>327</v>
      </c>
      <c r="C569">
        <v>543596</v>
      </c>
      <c r="D569" t="s">
        <v>1514</v>
      </c>
      <c r="E569" t="s">
        <v>1515</v>
      </c>
      <c r="F569" t="s">
        <v>1516</v>
      </c>
      <c r="G569" t="s">
        <v>1517</v>
      </c>
      <c r="H569" t="s">
        <v>1464</v>
      </c>
      <c r="I569" t="s">
        <v>1428</v>
      </c>
      <c r="J569" t="s">
        <v>615</v>
      </c>
      <c r="K569" t="s">
        <v>55</v>
      </c>
      <c r="L569" t="s">
        <v>55</v>
      </c>
      <c r="M569" t="s">
        <v>1518</v>
      </c>
    </row>
    <row r="570" spans="1:13" ht="15" customHeight="1" x14ac:dyDescent="0.25">
      <c r="A570" t="s">
        <v>1825</v>
      </c>
      <c r="B570" t="s">
        <v>327</v>
      </c>
      <c r="C570">
        <v>543670</v>
      </c>
      <c r="D570" t="s">
        <v>1519</v>
      </c>
      <c r="E570" t="s">
        <v>1520</v>
      </c>
      <c r="F570" t="s">
        <v>1521</v>
      </c>
      <c r="G570" t="s">
        <v>1522</v>
      </c>
      <c r="H570" t="s">
        <v>999</v>
      </c>
      <c r="I570" t="s">
        <v>1428</v>
      </c>
      <c r="J570" t="s">
        <v>1523</v>
      </c>
      <c r="K570" t="s">
        <v>55</v>
      </c>
      <c r="L570" t="s">
        <v>55</v>
      </c>
      <c r="M570" t="s">
        <v>1827</v>
      </c>
    </row>
    <row r="571" spans="1:13" ht="15" customHeight="1" x14ac:dyDescent="0.25">
      <c r="A571" t="s">
        <v>1825</v>
      </c>
      <c r="B571" t="s">
        <v>327</v>
      </c>
      <c r="C571">
        <v>543511</v>
      </c>
      <c r="D571" t="s">
        <v>1525</v>
      </c>
      <c r="E571" t="s">
        <v>800</v>
      </c>
      <c r="F571" t="s">
        <v>1526</v>
      </c>
      <c r="G571" t="s">
        <v>1527</v>
      </c>
      <c r="H571" t="s">
        <v>1008</v>
      </c>
      <c r="I571" t="s">
        <v>1428</v>
      </c>
      <c r="J571" t="s">
        <v>615</v>
      </c>
      <c r="K571" t="s">
        <v>55</v>
      </c>
      <c r="L571" t="s">
        <v>55</v>
      </c>
      <c r="M571" t="s">
        <v>1454</v>
      </c>
    </row>
    <row r="572" spans="1:13" ht="15" customHeight="1" x14ac:dyDescent="0.25">
      <c r="A572" t="s">
        <v>1825</v>
      </c>
      <c r="B572" t="s">
        <v>327</v>
      </c>
      <c r="C572">
        <v>543597</v>
      </c>
      <c r="D572" t="s">
        <v>1528</v>
      </c>
      <c r="E572" t="s">
        <v>1529</v>
      </c>
      <c r="F572" t="s">
        <v>1530</v>
      </c>
      <c r="G572" t="s">
        <v>1531</v>
      </c>
      <c r="H572" t="s">
        <v>999</v>
      </c>
      <c r="I572" t="s">
        <v>1428</v>
      </c>
      <c r="J572" t="s">
        <v>609</v>
      </c>
      <c r="K572" t="s">
        <v>55</v>
      </c>
      <c r="L572" t="s">
        <v>55</v>
      </c>
      <c r="M572" t="s">
        <v>1509</v>
      </c>
    </row>
    <row r="573" spans="1:13" ht="15" customHeight="1" x14ac:dyDescent="0.25">
      <c r="A573" t="s">
        <v>1825</v>
      </c>
      <c r="B573" t="s">
        <v>327</v>
      </c>
      <c r="C573">
        <v>543669</v>
      </c>
      <c r="D573" t="s">
        <v>1532</v>
      </c>
      <c r="E573" t="s">
        <v>1533</v>
      </c>
      <c r="F573" t="s">
        <v>1534</v>
      </c>
      <c r="G573" t="s">
        <v>1535</v>
      </c>
      <c r="H573" t="s">
        <v>1481</v>
      </c>
      <c r="I573" t="s">
        <v>1428</v>
      </c>
      <c r="J573" t="s">
        <v>631</v>
      </c>
      <c r="K573" t="s">
        <v>55</v>
      </c>
      <c r="L573" t="s">
        <v>55</v>
      </c>
      <c r="M573" t="s">
        <v>1536</v>
      </c>
    </row>
    <row r="574" spans="1:13" ht="15" customHeight="1" x14ac:dyDescent="0.25">
      <c r="A574" t="s">
        <v>1825</v>
      </c>
      <c r="B574" t="s">
        <v>327</v>
      </c>
      <c r="C574">
        <v>543591</v>
      </c>
      <c r="D574" t="s">
        <v>1537</v>
      </c>
      <c r="E574" t="s">
        <v>1538</v>
      </c>
      <c r="F574" t="s">
        <v>1539</v>
      </c>
      <c r="G574" t="s">
        <v>1540</v>
      </c>
      <c r="H574" t="s">
        <v>999</v>
      </c>
      <c r="I574" t="s">
        <v>1428</v>
      </c>
      <c r="J574" t="s">
        <v>1541</v>
      </c>
      <c r="K574" t="s">
        <v>55</v>
      </c>
      <c r="L574" t="s">
        <v>55</v>
      </c>
      <c r="M574" t="s">
        <v>1448</v>
      </c>
    </row>
    <row r="575" spans="1:13" ht="15" customHeight="1" x14ac:dyDescent="0.25">
      <c r="A575" t="s">
        <v>1825</v>
      </c>
      <c r="B575" t="s">
        <v>327</v>
      </c>
      <c r="C575">
        <v>543600</v>
      </c>
      <c r="D575" t="s">
        <v>1543</v>
      </c>
      <c r="E575" t="s">
        <v>1548</v>
      </c>
      <c r="F575" t="s">
        <v>1549</v>
      </c>
      <c r="G575" t="s">
        <v>1550</v>
      </c>
      <c r="H575" t="s">
        <v>999</v>
      </c>
      <c r="I575" t="s">
        <v>1428</v>
      </c>
      <c r="J575" t="s">
        <v>1551</v>
      </c>
      <c r="K575" t="s">
        <v>55</v>
      </c>
      <c r="L575" t="s">
        <v>55</v>
      </c>
      <c r="M575" t="s">
        <v>1552</v>
      </c>
    </row>
    <row r="576" spans="1:13" ht="15" customHeight="1" x14ac:dyDescent="0.25">
      <c r="A576" t="s">
        <v>1825</v>
      </c>
      <c r="B576" t="s">
        <v>327</v>
      </c>
      <c r="C576">
        <v>543608</v>
      </c>
      <c r="D576" t="s">
        <v>1543</v>
      </c>
      <c r="E576" t="s">
        <v>1544</v>
      </c>
      <c r="F576" t="s">
        <v>1545</v>
      </c>
      <c r="G576" t="s">
        <v>1546</v>
      </c>
      <c r="H576" t="s">
        <v>999</v>
      </c>
      <c r="I576" t="s">
        <v>1428</v>
      </c>
      <c r="J576" t="s">
        <v>927</v>
      </c>
      <c r="K576" t="s">
        <v>55</v>
      </c>
      <c r="L576" t="s">
        <v>55</v>
      </c>
      <c r="M576" t="s">
        <v>1547</v>
      </c>
    </row>
    <row r="577" spans="1:13" ht="15" customHeight="1" x14ac:dyDescent="0.25">
      <c r="A577" t="s">
        <v>1825</v>
      </c>
      <c r="B577" t="s">
        <v>327</v>
      </c>
      <c r="C577">
        <v>543513</v>
      </c>
      <c r="D577" t="s">
        <v>1046</v>
      </c>
      <c r="E577" t="s">
        <v>1047</v>
      </c>
      <c r="F577" t="s">
        <v>1048</v>
      </c>
      <c r="G577" t="s">
        <v>1049</v>
      </c>
      <c r="H577" t="s">
        <v>1050</v>
      </c>
      <c r="I577" t="s">
        <v>1428</v>
      </c>
      <c r="J577" t="s">
        <v>1051</v>
      </c>
      <c r="K577" t="s">
        <v>55</v>
      </c>
      <c r="L577" t="s">
        <v>55</v>
      </c>
      <c r="M577" t="s">
        <v>1828</v>
      </c>
    </row>
    <row r="578" spans="1:13" ht="15" customHeight="1" x14ac:dyDescent="0.25">
      <c r="A578" t="s">
        <v>1825</v>
      </c>
      <c r="B578" t="s">
        <v>327</v>
      </c>
      <c r="C578">
        <v>544088</v>
      </c>
      <c r="D578" t="s">
        <v>1554</v>
      </c>
      <c r="E578" t="s">
        <v>1555</v>
      </c>
      <c r="F578" t="s">
        <v>1556</v>
      </c>
      <c r="G578" t="s">
        <v>1557</v>
      </c>
      <c r="H578" t="s">
        <v>1481</v>
      </c>
      <c r="I578" t="s">
        <v>1428</v>
      </c>
      <c r="J578" t="s">
        <v>620</v>
      </c>
      <c r="K578" t="s">
        <v>55</v>
      </c>
      <c r="L578" t="s">
        <v>55</v>
      </c>
      <c r="M578" t="s">
        <v>1558</v>
      </c>
    </row>
    <row r="579" spans="1:13" ht="15" customHeight="1" x14ac:dyDescent="0.25">
      <c r="A579" t="s">
        <v>1825</v>
      </c>
      <c r="B579" t="s">
        <v>327</v>
      </c>
      <c r="C579">
        <v>544093</v>
      </c>
      <c r="D579" t="s">
        <v>1559</v>
      </c>
      <c r="E579" t="s">
        <v>1560</v>
      </c>
      <c r="F579" t="s">
        <v>1561</v>
      </c>
      <c r="G579" t="s">
        <v>1562</v>
      </c>
      <c r="H579" t="s">
        <v>999</v>
      </c>
      <c r="I579" t="s">
        <v>1428</v>
      </c>
      <c r="J579" t="s">
        <v>637</v>
      </c>
      <c r="K579" t="s">
        <v>55</v>
      </c>
      <c r="L579" t="s">
        <v>55</v>
      </c>
      <c r="M579" t="s">
        <v>1563</v>
      </c>
    </row>
    <row r="580" spans="1:13" ht="15" customHeight="1" x14ac:dyDescent="0.25">
      <c r="A580" t="s">
        <v>1825</v>
      </c>
      <c r="B580" t="s">
        <v>327</v>
      </c>
      <c r="C580">
        <v>544092</v>
      </c>
      <c r="D580" t="s">
        <v>1564</v>
      </c>
      <c r="E580" t="s">
        <v>1565</v>
      </c>
      <c r="F580" t="s">
        <v>1566</v>
      </c>
      <c r="G580" t="s">
        <v>1567</v>
      </c>
      <c r="H580" t="s">
        <v>999</v>
      </c>
      <c r="I580" t="s">
        <v>1428</v>
      </c>
      <c r="J580" t="s">
        <v>1568</v>
      </c>
      <c r="K580" t="s">
        <v>55</v>
      </c>
      <c r="L580" t="s">
        <v>55</v>
      </c>
      <c r="M580" t="s">
        <v>1569</v>
      </c>
    </row>
    <row r="581" spans="1:13" ht="15" customHeight="1" x14ac:dyDescent="0.25">
      <c r="A581" t="s">
        <v>1825</v>
      </c>
      <c r="B581" t="s">
        <v>327</v>
      </c>
      <c r="C581">
        <v>543811</v>
      </c>
      <c r="D581" t="s">
        <v>1570</v>
      </c>
      <c r="E581" t="s">
        <v>1571</v>
      </c>
      <c r="F581" t="s">
        <v>1572</v>
      </c>
      <c r="G581" t="s">
        <v>1573</v>
      </c>
      <c r="H581" t="s">
        <v>1464</v>
      </c>
      <c r="I581" t="s">
        <v>1428</v>
      </c>
      <c r="J581" t="s">
        <v>615</v>
      </c>
      <c r="K581" t="s">
        <v>55</v>
      </c>
      <c r="L581" t="s">
        <v>55</v>
      </c>
      <c r="M581" t="s">
        <v>1454</v>
      </c>
    </row>
    <row r="582" spans="1:13" ht="15" customHeight="1" x14ac:dyDescent="0.25">
      <c r="A582" t="s">
        <v>1825</v>
      </c>
      <c r="B582" t="s">
        <v>327</v>
      </c>
      <c r="C582">
        <v>544109</v>
      </c>
      <c r="D582" t="s">
        <v>1829</v>
      </c>
      <c r="E582" t="s">
        <v>891</v>
      </c>
      <c r="F582" t="s">
        <v>892</v>
      </c>
      <c r="G582" t="s">
        <v>893</v>
      </c>
      <c r="H582" t="s">
        <v>1830</v>
      </c>
      <c r="I582" t="s">
        <v>1428</v>
      </c>
      <c r="J582" t="s">
        <v>660</v>
      </c>
      <c r="K582" t="s">
        <v>55</v>
      </c>
      <c r="L582" t="s">
        <v>55</v>
      </c>
      <c r="M582" t="s">
        <v>1476</v>
      </c>
    </row>
    <row r="583" spans="1:13" ht="15" customHeight="1" x14ac:dyDescent="0.25">
      <c r="A583" t="s">
        <v>1825</v>
      </c>
      <c r="B583" t="s">
        <v>327</v>
      </c>
      <c r="C583">
        <v>543712</v>
      </c>
      <c r="D583" t="s">
        <v>1574</v>
      </c>
      <c r="E583" t="s">
        <v>1575</v>
      </c>
      <c r="F583" t="s">
        <v>1576</v>
      </c>
      <c r="G583" t="s">
        <v>1577</v>
      </c>
      <c r="H583" t="s">
        <v>1199</v>
      </c>
      <c r="I583" t="s">
        <v>1428</v>
      </c>
      <c r="J583" t="s">
        <v>631</v>
      </c>
      <c r="K583" t="s">
        <v>55</v>
      </c>
      <c r="L583" t="s">
        <v>55</v>
      </c>
      <c r="M583" t="s">
        <v>1429</v>
      </c>
    </row>
    <row r="584" spans="1:13" ht="15" customHeight="1" x14ac:dyDescent="0.25">
      <c r="A584" t="s">
        <v>1825</v>
      </c>
      <c r="B584" t="s">
        <v>327</v>
      </c>
      <c r="C584">
        <v>543658</v>
      </c>
      <c r="D584" t="s">
        <v>1578</v>
      </c>
      <c r="E584" t="s">
        <v>891</v>
      </c>
      <c r="F584" t="s">
        <v>1579</v>
      </c>
      <c r="G584" t="s">
        <v>1580</v>
      </c>
      <c r="H584" t="s">
        <v>1008</v>
      </c>
      <c r="I584" t="s">
        <v>1428</v>
      </c>
      <c r="J584" t="s">
        <v>715</v>
      </c>
      <c r="K584" t="s">
        <v>55</v>
      </c>
      <c r="L584" t="s">
        <v>55</v>
      </c>
      <c r="M584" t="s">
        <v>1831</v>
      </c>
    </row>
    <row r="585" spans="1:13" ht="15" customHeight="1" x14ac:dyDescent="0.25">
      <c r="A585" t="s">
        <v>1825</v>
      </c>
      <c r="B585" t="s">
        <v>327</v>
      </c>
      <c r="C585">
        <v>543657</v>
      </c>
      <c r="D585" t="s">
        <v>1582</v>
      </c>
      <c r="E585" t="s">
        <v>1583</v>
      </c>
      <c r="F585" t="s">
        <v>1584</v>
      </c>
      <c r="G585" t="s">
        <v>1585</v>
      </c>
      <c r="H585" t="s">
        <v>911</v>
      </c>
      <c r="I585" t="s">
        <v>1428</v>
      </c>
      <c r="J585" t="s">
        <v>631</v>
      </c>
      <c r="K585" t="s">
        <v>55</v>
      </c>
      <c r="L585" t="s">
        <v>55</v>
      </c>
      <c r="M585" t="s">
        <v>1586</v>
      </c>
    </row>
    <row r="586" spans="1:13" ht="15" customHeight="1" x14ac:dyDescent="0.25">
      <c r="A586" t="s">
        <v>1825</v>
      </c>
      <c r="B586" t="s">
        <v>327</v>
      </c>
      <c r="C586">
        <v>543656</v>
      </c>
      <c r="D586" t="s">
        <v>1587</v>
      </c>
      <c r="E586" t="s">
        <v>1588</v>
      </c>
      <c r="F586" t="s">
        <v>1589</v>
      </c>
      <c r="G586" t="s">
        <v>1590</v>
      </c>
      <c r="H586" t="s">
        <v>911</v>
      </c>
      <c r="I586" t="s">
        <v>1428</v>
      </c>
      <c r="J586" t="s">
        <v>631</v>
      </c>
      <c r="K586" t="s">
        <v>55</v>
      </c>
      <c r="L586" t="s">
        <v>55</v>
      </c>
      <c r="M586" t="s">
        <v>1586</v>
      </c>
    </row>
    <row r="587" spans="1:13" ht="15" customHeight="1" x14ac:dyDescent="0.25">
      <c r="A587" t="s">
        <v>1825</v>
      </c>
      <c r="B587" t="s">
        <v>327</v>
      </c>
      <c r="C587">
        <v>543514</v>
      </c>
      <c r="D587" t="s">
        <v>1162</v>
      </c>
      <c r="E587" t="s">
        <v>1163</v>
      </c>
      <c r="F587" t="s">
        <v>1164</v>
      </c>
      <c r="G587" t="s">
        <v>1165</v>
      </c>
      <c r="H587" t="s">
        <v>999</v>
      </c>
      <c r="I587" t="s">
        <v>1428</v>
      </c>
      <c r="J587" t="s">
        <v>596</v>
      </c>
      <c r="K587" t="s">
        <v>55</v>
      </c>
      <c r="L587" t="s">
        <v>55</v>
      </c>
      <c r="M587" t="s">
        <v>1459</v>
      </c>
    </row>
    <row r="588" spans="1:13" ht="15" customHeight="1" x14ac:dyDescent="0.25">
      <c r="A588" t="s">
        <v>1825</v>
      </c>
      <c r="B588" t="s">
        <v>327</v>
      </c>
      <c r="C588">
        <v>543661</v>
      </c>
      <c r="D588" t="s">
        <v>1592</v>
      </c>
      <c r="E588" t="s">
        <v>1593</v>
      </c>
      <c r="F588" t="s">
        <v>1594</v>
      </c>
      <c r="G588" t="s">
        <v>1595</v>
      </c>
      <c r="H588" t="s">
        <v>1596</v>
      </c>
      <c r="I588" t="s">
        <v>1428</v>
      </c>
      <c r="J588" t="s">
        <v>603</v>
      </c>
      <c r="K588" t="s">
        <v>55</v>
      </c>
      <c r="L588" t="s">
        <v>55</v>
      </c>
      <c r="M588" t="s">
        <v>1597</v>
      </c>
    </row>
    <row r="589" spans="1:13" ht="15" customHeight="1" x14ac:dyDescent="0.25">
      <c r="A589" t="s">
        <v>1825</v>
      </c>
      <c r="B589" t="s">
        <v>327</v>
      </c>
      <c r="C589">
        <v>543501</v>
      </c>
      <c r="D589" t="s">
        <v>1598</v>
      </c>
      <c r="E589" t="s">
        <v>1599</v>
      </c>
      <c r="F589" t="s">
        <v>1600</v>
      </c>
      <c r="G589" t="s">
        <v>1601</v>
      </c>
      <c r="H589" t="s">
        <v>999</v>
      </c>
      <c r="I589" t="s">
        <v>1428</v>
      </c>
      <c r="J589" t="s">
        <v>615</v>
      </c>
      <c r="K589" t="s">
        <v>55</v>
      </c>
      <c r="L589" t="s">
        <v>55</v>
      </c>
      <c r="M589" t="s">
        <v>1465</v>
      </c>
    </row>
    <row r="590" spans="1:13" ht="15" customHeight="1" x14ac:dyDescent="0.25">
      <c r="A590" t="s">
        <v>1825</v>
      </c>
      <c r="B590" t="s">
        <v>327</v>
      </c>
      <c r="C590">
        <v>543594</v>
      </c>
      <c r="D590" t="s">
        <v>1603</v>
      </c>
      <c r="E590" t="s">
        <v>1604</v>
      </c>
      <c r="F590" t="s">
        <v>1605</v>
      </c>
      <c r="G590" t="s">
        <v>1606</v>
      </c>
      <c r="H590" t="s">
        <v>1377</v>
      </c>
      <c r="I590" t="s">
        <v>1428</v>
      </c>
      <c r="J590" t="s">
        <v>631</v>
      </c>
      <c r="K590" t="s">
        <v>55</v>
      </c>
      <c r="L590" t="s">
        <v>55</v>
      </c>
      <c r="M590" t="s">
        <v>1607</v>
      </c>
    </row>
    <row r="591" spans="1:13" ht="15" customHeight="1" x14ac:dyDescent="0.25">
      <c r="A591" t="s">
        <v>1825</v>
      </c>
      <c r="B591" t="s">
        <v>327</v>
      </c>
      <c r="C591">
        <v>544095</v>
      </c>
      <c r="D591" t="s">
        <v>1608</v>
      </c>
      <c r="E591" t="s">
        <v>1609</v>
      </c>
      <c r="F591" t="s">
        <v>1610</v>
      </c>
      <c r="G591" t="s">
        <v>1611</v>
      </c>
      <c r="H591" t="s">
        <v>999</v>
      </c>
      <c r="I591" t="s">
        <v>1428</v>
      </c>
      <c r="J591" t="s">
        <v>751</v>
      </c>
      <c r="K591" t="s">
        <v>55</v>
      </c>
      <c r="L591" t="s">
        <v>55</v>
      </c>
      <c r="M591" t="s">
        <v>1612</v>
      </c>
    </row>
    <row r="592" spans="1:13" ht="15" customHeight="1" x14ac:dyDescent="0.25">
      <c r="A592" t="s">
        <v>1825</v>
      </c>
      <c r="B592" t="s">
        <v>327</v>
      </c>
      <c r="C592">
        <v>543504</v>
      </c>
      <c r="D592" t="s">
        <v>1613</v>
      </c>
      <c r="E592" t="s">
        <v>1614</v>
      </c>
      <c r="F592" t="s">
        <v>1615</v>
      </c>
      <c r="G592" t="s">
        <v>1616</v>
      </c>
      <c r="H592" t="s">
        <v>1199</v>
      </c>
      <c r="I592" t="s">
        <v>1428</v>
      </c>
      <c r="J592" t="s">
        <v>620</v>
      </c>
      <c r="K592" t="s">
        <v>55</v>
      </c>
      <c r="L592" t="s">
        <v>55</v>
      </c>
      <c r="M592" t="s">
        <v>1617</v>
      </c>
    </row>
    <row r="593" spans="1:13" ht="15" customHeight="1" x14ac:dyDescent="0.25">
      <c r="A593" t="s">
        <v>1825</v>
      </c>
      <c r="B593" t="s">
        <v>327</v>
      </c>
      <c r="C593">
        <v>543508</v>
      </c>
      <c r="D593" t="s">
        <v>1409</v>
      </c>
      <c r="E593" t="s">
        <v>1618</v>
      </c>
      <c r="F593" t="s">
        <v>1619</v>
      </c>
      <c r="G593" t="s">
        <v>1620</v>
      </c>
      <c r="H593" t="s">
        <v>1199</v>
      </c>
      <c r="I593" t="s">
        <v>1428</v>
      </c>
      <c r="J593" t="s">
        <v>1621</v>
      </c>
      <c r="K593" t="s">
        <v>55</v>
      </c>
      <c r="L593" t="s">
        <v>55</v>
      </c>
      <c r="M593" t="s">
        <v>1622</v>
      </c>
    </row>
    <row r="594" spans="1:13" ht="15" customHeight="1" x14ac:dyDescent="0.25">
      <c r="A594" t="s">
        <v>1825</v>
      </c>
      <c r="B594" t="s">
        <v>327</v>
      </c>
      <c r="C594">
        <v>543505</v>
      </c>
      <c r="D594" t="s">
        <v>1623</v>
      </c>
      <c r="E594" t="s">
        <v>1624</v>
      </c>
      <c r="F594" t="s">
        <v>1625</v>
      </c>
      <c r="G594" t="s">
        <v>1626</v>
      </c>
      <c r="H594" t="s">
        <v>1475</v>
      </c>
      <c r="I594" t="s">
        <v>1428</v>
      </c>
      <c r="J594" t="s">
        <v>620</v>
      </c>
      <c r="K594" t="s">
        <v>55</v>
      </c>
      <c r="L594" t="s">
        <v>55</v>
      </c>
      <c r="M594" t="s">
        <v>1547</v>
      </c>
    </row>
    <row r="595" spans="1:13" ht="15" customHeight="1" x14ac:dyDescent="0.25">
      <c r="A595" t="s">
        <v>1825</v>
      </c>
      <c r="B595" t="s">
        <v>327</v>
      </c>
      <c r="C595">
        <v>543510</v>
      </c>
      <c r="D595" t="s">
        <v>1623</v>
      </c>
      <c r="E595" t="s">
        <v>1627</v>
      </c>
      <c r="F595" t="s">
        <v>1628</v>
      </c>
      <c r="G595" t="s">
        <v>1629</v>
      </c>
      <c r="H595" t="s">
        <v>1475</v>
      </c>
      <c r="I595" t="s">
        <v>1428</v>
      </c>
      <c r="J595" t="s">
        <v>620</v>
      </c>
      <c r="K595" t="s">
        <v>55</v>
      </c>
      <c r="L595" t="s">
        <v>55</v>
      </c>
      <c r="M595" t="s">
        <v>1617</v>
      </c>
    </row>
    <row r="596" spans="1:13" ht="15" customHeight="1" x14ac:dyDescent="0.25">
      <c r="A596" t="s">
        <v>1825</v>
      </c>
      <c r="B596" t="s">
        <v>327</v>
      </c>
      <c r="C596">
        <v>543660</v>
      </c>
      <c r="D596" t="s">
        <v>1630</v>
      </c>
      <c r="E596" t="s">
        <v>1631</v>
      </c>
      <c r="F596" t="s">
        <v>1632</v>
      </c>
      <c r="G596" t="s">
        <v>1633</v>
      </c>
      <c r="H596" t="s">
        <v>1199</v>
      </c>
      <c r="I596" t="s">
        <v>1428</v>
      </c>
      <c r="J596" t="s">
        <v>620</v>
      </c>
      <c r="K596" t="s">
        <v>55</v>
      </c>
      <c r="L596" t="s">
        <v>55</v>
      </c>
      <c r="M596" t="s">
        <v>1634</v>
      </c>
    </row>
    <row r="597" spans="1:13" ht="15" customHeight="1" x14ac:dyDescent="0.25">
      <c r="A597" t="s">
        <v>1825</v>
      </c>
      <c r="B597" t="s">
        <v>327</v>
      </c>
      <c r="C597">
        <v>544094</v>
      </c>
      <c r="D597" t="s">
        <v>1635</v>
      </c>
      <c r="E597" t="s">
        <v>1636</v>
      </c>
      <c r="F597" t="s">
        <v>1637</v>
      </c>
      <c r="G597" t="s">
        <v>1638</v>
      </c>
      <c r="H597" t="s">
        <v>999</v>
      </c>
      <c r="I597" t="s">
        <v>1428</v>
      </c>
      <c r="J597" t="s">
        <v>631</v>
      </c>
      <c r="K597" t="s">
        <v>55</v>
      </c>
      <c r="L597" t="s">
        <v>55</v>
      </c>
      <c r="M597" t="s">
        <v>1429</v>
      </c>
    </row>
    <row r="598" spans="1:13" ht="15" customHeight="1" x14ac:dyDescent="0.25">
      <c r="A598" t="s">
        <v>1825</v>
      </c>
      <c r="B598" t="s">
        <v>327</v>
      </c>
      <c r="C598">
        <v>543515</v>
      </c>
      <c r="D598" t="s">
        <v>1288</v>
      </c>
      <c r="E598" t="s">
        <v>1289</v>
      </c>
      <c r="F598" t="s">
        <v>1290</v>
      </c>
      <c r="G598" t="s">
        <v>1291</v>
      </c>
      <c r="H598" t="s">
        <v>803</v>
      </c>
      <c r="I598" t="s">
        <v>1428</v>
      </c>
      <c r="J598" t="s">
        <v>927</v>
      </c>
      <c r="K598" t="s">
        <v>55</v>
      </c>
      <c r="L598" t="s">
        <v>55</v>
      </c>
      <c r="M598" t="s">
        <v>1640</v>
      </c>
    </row>
    <row r="599" spans="1:13" ht="15" customHeight="1" x14ac:dyDescent="0.25">
      <c r="A599" t="s">
        <v>1825</v>
      </c>
      <c r="B599" t="s">
        <v>327</v>
      </c>
      <c r="C599">
        <v>543516</v>
      </c>
      <c r="D599" t="s">
        <v>1641</v>
      </c>
      <c r="E599" t="s">
        <v>1642</v>
      </c>
      <c r="F599" t="s">
        <v>1643</v>
      </c>
      <c r="G599" t="s">
        <v>1644</v>
      </c>
      <c r="H599" t="s">
        <v>999</v>
      </c>
      <c r="I599" t="s">
        <v>1428</v>
      </c>
      <c r="J599" t="s">
        <v>1645</v>
      </c>
      <c r="K599" t="s">
        <v>55</v>
      </c>
      <c r="L599" t="s">
        <v>55</v>
      </c>
      <c r="M599" t="s">
        <v>1509</v>
      </c>
    </row>
    <row r="600" spans="1:13" ht="15" customHeight="1" x14ac:dyDescent="0.25">
      <c r="A600" t="s">
        <v>1832</v>
      </c>
      <c r="B600" t="s">
        <v>327</v>
      </c>
      <c r="C600">
        <v>544069</v>
      </c>
      <c r="D600" t="s">
        <v>1424</v>
      </c>
      <c r="E600" t="s">
        <v>1425</v>
      </c>
      <c r="F600" t="s">
        <v>1426</v>
      </c>
      <c r="G600" t="s">
        <v>1427</v>
      </c>
      <c r="H600" t="s">
        <v>1199</v>
      </c>
      <c r="I600" t="s">
        <v>1428</v>
      </c>
      <c r="J600" t="s">
        <v>770</v>
      </c>
      <c r="K600" t="s">
        <v>55</v>
      </c>
      <c r="L600" t="s">
        <v>55</v>
      </c>
      <c r="M600" t="s">
        <v>1639</v>
      </c>
    </row>
    <row r="601" spans="1:13" ht="15" customHeight="1" x14ac:dyDescent="0.25">
      <c r="A601" t="s">
        <v>1832</v>
      </c>
      <c r="B601" t="s">
        <v>327</v>
      </c>
      <c r="C601">
        <v>544090</v>
      </c>
      <c r="D601" t="s">
        <v>1430</v>
      </c>
      <c r="E601" t="s">
        <v>1431</v>
      </c>
      <c r="F601" t="s">
        <v>1432</v>
      </c>
      <c r="G601" t="s">
        <v>1433</v>
      </c>
      <c r="H601" t="s">
        <v>999</v>
      </c>
      <c r="I601" t="s">
        <v>1428</v>
      </c>
      <c r="J601" t="s">
        <v>1305</v>
      </c>
      <c r="K601" t="s">
        <v>55</v>
      </c>
      <c r="L601" t="s">
        <v>55</v>
      </c>
      <c r="M601" t="s">
        <v>1434</v>
      </c>
    </row>
    <row r="602" spans="1:13" ht="15" customHeight="1" x14ac:dyDescent="0.25">
      <c r="A602" t="s">
        <v>1832</v>
      </c>
      <c r="B602" t="s">
        <v>327</v>
      </c>
      <c r="C602">
        <v>543655</v>
      </c>
      <c r="D602" t="s">
        <v>1435</v>
      </c>
      <c r="E602" t="s">
        <v>1436</v>
      </c>
      <c r="F602" t="s">
        <v>1437</v>
      </c>
      <c r="G602" t="s">
        <v>1438</v>
      </c>
      <c r="H602" t="s">
        <v>1008</v>
      </c>
      <c r="I602" t="s">
        <v>1428</v>
      </c>
      <c r="J602" t="s">
        <v>809</v>
      </c>
      <c r="K602" t="s">
        <v>55</v>
      </c>
      <c r="L602" t="s">
        <v>55</v>
      </c>
      <c r="M602" t="s">
        <v>1439</v>
      </c>
    </row>
    <row r="603" spans="1:13" ht="15" customHeight="1" x14ac:dyDescent="0.25">
      <c r="A603" t="s">
        <v>1832</v>
      </c>
      <c r="B603" t="s">
        <v>327</v>
      </c>
      <c r="C603">
        <v>543710</v>
      </c>
      <c r="D603" t="s">
        <v>1440</v>
      </c>
      <c r="E603" t="s">
        <v>1441</v>
      </c>
      <c r="F603" t="s">
        <v>1442</v>
      </c>
      <c r="G603" t="s">
        <v>1443</v>
      </c>
      <c r="H603" t="s">
        <v>999</v>
      </c>
      <c r="I603" t="s">
        <v>1428</v>
      </c>
      <c r="J603" t="s">
        <v>609</v>
      </c>
      <c r="K603" t="s">
        <v>55</v>
      </c>
      <c r="L603" t="s">
        <v>55</v>
      </c>
      <c r="M603" t="s">
        <v>1444</v>
      </c>
    </row>
    <row r="604" spans="1:13" ht="15" customHeight="1" x14ac:dyDescent="0.25">
      <c r="A604" t="s">
        <v>1832</v>
      </c>
      <c r="B604" t="s">
        <v>327</v>
      </c>
      <c r="C604">
        <v>543503</v>
      </c>
      <c r="D604" t="s">
        <v>1445</v>
      </c>
      <c r="E604" t="s">
        <v>683</v>
      </c>
      <c r="F604" t="s">
        <v>1446</v>
      </c>
      <c r="G604" t="s">
        <v>1447</v>
      </c>
      <c r="H604" t="s">
        <v>999</v>
      </c>
      <c r="I604" t="s">
        <v>1428</v>
      </c>
      <c r="J604" t="s">
        <v>715</v>
      </c>
      <c r="K604" t="s">
        <v>55</v>
      </c>
      <c r="L604" t="s">
        <v>55</v>
      </c>
      <c r="M604" t="s">
        <v>1448</v>
      </c>
    </row>
    <row r="605" spans="1:13" ht="15" customHeight="1" x14ac:dyDescent="0.25">
      <c r="A605" t="s">
        <v>1832</v>
      </c>
      <c r="B605" t="s">
        <v>327</v>
      </c>
      <c r="C605">
        <v>543599</v>
      </c>
      <c r="D605" t="s">
        <v>1449</v>
      </c>
      <c r="E605" t="s">
        <v>1450</v>
      </c>
      <c r="F605" t="s">
        <v>1451</v>
      </c>
      <c r="G605" t="s">
        <v>1452</v>
      </c>
      <c r="H605" t="s">
        <v>999</v>
      </c>
      <c r="I605" t="s">
        <v>1428</v>
      </c>
      <c r="J605" t="s">
        <v>777</v>
      </c>
      <c r="K605" t="s">
        <v>55</v>
      </c>
      <c r="L605" t="s">
        <v>55</v>
      </c>
      <c r="M605" t="s">
        <v>1453</v>
      </c>
    </row>
    <row r="606" spans="1:13" ht="15" customHeight="1" x14ac:dyDescent="0.25">
      <c r="A606" t="s">
        <v>1832</v>
      </c>
      <c r="B606" t="s">
        <v>327</v>
      </c>
      <c r="C606">
        <v>543601</v>
      </c>
      <c r="D606" t="s">
        <v>1331</v>
      </c>
      <c r="E606" t="s">
        <v>1332</v>
      </c>
      <c r="F606" t="s">
        <v>1333</v>
      </c>
      <c r="G606" t="s">
        <v>1334</v>
      </c>
      <c r="H606" t="s">
        <v>1199</v>
      </c>
      <c r="I606" t="s">
        <v>1428</v>
      </c>
      <c r="J606" t="s">
        <v>1335</v>
      </c>
      <c r="K606" t="s">
        <v>55</v>
      </c>
      <c r="L606" t="s">
        <v>55</v>
      </c>
      <c r="M606" t="s">
        <v>1454</v>
      </c>
    </row>
    <row r="607" spans="1:13" ht="15" customHeight="1" x14ac:dyDescent="0.25">
      <c r="A607" t="s">
        <v>1832</v>
      </c>
      <c r="B607" t="s">
        <v>327</v>
      </c>
      <c r="C607">
        <v>543502</v>
      </c>
      <c r="D607" t="s">
        <v>1455</v>
      </c>
      <c r="E607" t="s">
        <v>60</v>
      </c>
      <c r="F607" t="s">
        <v>1456</v>
      </c>
      <c r="G607" t="s">
        <v>1457</v>
      </c>
      <c r="H607" t="s">
        <v>999</v>
      </c>
      <c r="I607" t="s">
        <v>1428</v>
      </c>
      <c r="J607" t="s">
        <v>1458</v>
      </c>
      <c r="K607" t="s">
        <v>55</v>
      </c>
      <c r="L607" t="s">
        <v>55</v>
      </c>
      <c r="M607" t="s">
        <v>1459</v>
      </c>
    </row>
    <row r="608" spans="1:13" ht="15" customHeight="1" x14ac:dyDescent="0.25">
      <c r="A608" t="s">
        <v>1832</v>
      </c>
      <c r="B608" t="s">
        <v>327</v>
      </c>
      <c r="C608">
        <v>543659</v>
      </c>
      <c r="D608" t="s">
        <v>1460</v>
      </c>
      <c r="E608" t="s">
        <v>1461</v>
      </c>
      <c r="F608" t="s">
        <v>1462</v>
      </c>
      <c r="G608" t="s">
        <v>1463</v>
      </c>
      <c r="H608" t="s">
        <v>1464</v>
      </c>
      <c r="I608" t="s">
        <v>1428</v>
      </c>
      <c r="J608" t="s">
        <v>660</v>
      </c>
      <c r="K608" t="s">
        <v>55</v>
      </c>
      <c r="L608" t="s">
        <v>55</v>
      </c>
      <c r="M608" t="s">
        <v>1465</v>
      </c>
    </row>
    <row r="609" spans="1:13" ht="15" customHeight="1" x14ac:dyDescent="0.25">
      <c r="A609" t="s">
        <v>1832</v>
      </c>
      <c r="B609" t="s">
        <v>327</v>
      </c>
      <c r="C609">
        <v>544091</v>
      </c>
      <c r="D609" t="s">
        <v>1466</v>
      </c>
      <c r="E609" t="s">
        <v>1467</v>
      </c>
      <c r="F609" t="s">
        <v>1468</v>
      </c>
      <c r="G609" t="s">
        <v>1469</v>
      </c>
      <c r="H609" t="s">
        <v>1464</v>
      </c>
      <c r="I609" t="s">
        <v>1428</v>
      </c>
      <c r="J609" t="s">
        <v>620</v>
      </c>
      <c r="K609" t="s">
        <v>55</v>
      </c>
      <c r="L609" t="s">
        <v>55</v>
      </c>
      <c r="M609" t="s">
        <v>1826</v>
      </c>
    </row>
    <row r="610" spans="1:13" ht="15" customHeight="1" x14ac:dyDescent="0.25">
      <c r="A610" t="s">
        <v>1832</v>
      </c>
      <c r="B610" t="s">
        <v>327</v>
      </c>
      <c r="C610">
        <v>543509</v>
      </c>
      <c r="D610" t="s">
        <v>1471</v>
      </c>
      <c r="E610" t="s">
        <v>1472</v>
      </c>
      <c r="F610" t="s">
        <v>1473</v>
      </c>
      <c r="G610" t="s">
        <v>1474</v>
      </c>
      <c r="H610" t="s">
        <v>1475</v>
      </c>
      <c r="I610" t="s">
        <v>1428</v>
      </c>
      <c r="J610" t="s">
        <v>1263</v>
      </c>
      <c r="K610" t="s">
        <v>55</v>
      </c>
      <c r="L610" t="s">
        <v>55</v>
      </c>
      <c r="M610" t="s">
        <v>1476</v>
      </c>
    </row>
    <row r="611" spans="1:13" ht="15" customHeight="1" x14ac:dyDescent="0.25">
      <c r="A611" t="s">
        <v>1832</v>
      </c>
      <c r="B611" t="s">
        <v>327</v>
      </c>
      <c r="C611">
        <v>543711</v>
      </c>
      <c r="D611" t="s">
        <v>1477</v>
      </c>
      <c r="E611" t="s">
        <v>1478</v>
      </c>
      <c r="F611" t="s">
        <v>1479</v>
      </c>
      <c r="G611" t="s">
        <v>1480</v>
      </c>
      <c r="H611" t="s">
        <v>1481</v>
      </c>
      <c r="I611" t="s">
        <v>1428</v>
      </c>
      <c r="J611" t="s">
        <v>631</v>
      </c>
      <c r="K611" t="s">
        <v>55</v>
      </c>
      <c r="L611" t="s">
        <v>55</v>
      </c>
      <c r="M611" t="s">
        <v>1482</v>
      </c>
    </row>
    <row r="612" spans="1:13" ht="15" customHeight="1" x14ac:dyDescent="0.25">
      <c r="A612" t="s">
        <v>1832</v>
      </c>
      <c r="B612" t="s">
        <v>327</v>
      </c>
      <c r="C612">
        <v>543499</v>
      </c>
      <c r="D612" t="s">
        <v>1483</v>
      </c>
      <c r="E612" t="s">
        <v>1484</v>
      </c>
      <c r="F612" t="s">
        <v>1485</v>
      </c>
      <c r="G612" t="s">
        <v>1486</v>
      </c>
      <c r="H612" t="s">
        <v>1464</v>
      </c>
      <c r="I612" t="s">
        <v>1428</v>
      </c>
      <c r="J612" t="s">
        <v>751</v>
      </c>
      <c r="K612" t="s">
        <v>55</v>
      </c>
      <c r="L612" t="s">
        <v>55</v>
      </c>
      <c r="M612" t="s">
        <v>1487</v>
      </c>
    </row>
    <row r="613" spans="1:13" ht="15" customHeight="1" x14ac:dyDescent="0.25">
      <c r="A613" t="s">
        <v>1832</v>
      </c>
      <c r="B613" t="s">
        <v>327</v>
      </c>
      <c r="C613">
        <v>543507</v>
      </c>
      <c r="D613" t="s">
        <v>1342</v>
      </c>
      <c r="E613" t="s">
        <v>1346</v>
      </c>
      <c r="F613" t="s">
        <v>1347</v>
      </c>
      <c r="G613" t="s">
        <v>1348</v>
      </c>
      <c r="H613" t="s">
        <v>1199</v>
      </c>
      <c r="I613" t="s">
        <v>1428</v>
      </c>
      <c r="J613" t="s">
        <v>1349</v>
      </c>
      <c r="K613" t="s">
        <v>55</v>
      </c>
      <c r="L613" t="s">
        <v>55</v>
      </c>
      <c r="M613" t="s">
        <v>1429</v>
      </c>
    </row>
    <row r="614" spans="1:13" ht="15" customHeight="1" x14ac:dyDescent="0.25">
      <c r="A614" t="s">
        <v>1832</v>
      </c>
      <c r="B614" t="s">
        <v>327</v>
      </c>
      <c r="C614">
        <v>543512</v>
      </c>
      <c r="D614" t="s">
        <v>1488</v>
      </c>
      <c r="E614" t="s">
        <v>1489</v>
      </c>
      <c r="F614" t="s">
        <v>1490</v>
      </c>
      <c r="G614" t="s">
        <v>1491</v>
      </c>
      <c r="H614" t="s">
        <v>757</v>
      </c>
      <c r="I614" t="s">
        <v>1428</v>
      </c>
      <c r="J614" t="s">
        <v>770</v>
      </c>
      <c r="K614" t="s">
        <v>55</v>
      </c>
      <c r="L614" t="s">
        <v>55</v>
      </c>
      <c r="M614" t="s">
        <v>1612</v>
      </c>
    </row>
    <row r="615" spans="1:13" ht="15" customHeight="1" x14ac:dyDescent="0.25">
      <c r="A615" t="s">
        <v>1832</v>
      </c>
      <c r="B615" t="s">
        <v>327</v>
      </c>
      <c r="C615">
        <v>543592</v>
      </c>
      <c r="D615" t="s">
        <v>1492</v>
      </c>
      <c r="E615" t="s">
        <v>1496</v>
      </c>
      <c r="F615" t="s">
        <v>1497</v>
      </c>
      <c r="G615" t="s">
        <v>1498</v>
      </c>
      <c r="H615" t="s">
        <v>1199</v>
      </c>
      <c r="I615" t="s">
        <v>1428</v>
      </c>
      <c r="J615" t="s">
        <v>637</v>
      </c>
      <c r="K615" t="s">
        <v>55</v>
      </c>
      <c r="L615" t="s">
        <v>55</v>
      </c>
      <c r="M615" t="s">
        <v>1453</v>
      </c>
    </row>
    <row r="616" spans="1:13" ht="15" customHeight="1" x14ac:dyDescent="0.25">
      <c r="A616" t="s">
        <v>1832</v>
      </c>
      <c r="B616" t="s">
        <v>327</v>
      </c>
      <c r="C616">
        <v>543593</v>
      </c>
      <c r="D616" t="s">
        <v>1492</v>
      </c>
      <c r="E616" t="s">
        <v>1493</v>
      </c>
      <c r="F616" t="s">
        <v>1494</v>
      </c>
      <c r="G616" t="s">
        <v>1495</v>
      </c>
      <c r="H616" t="s">
        <v>1199</v>
      </c>
      <c r="I616" t="s">
        <v>1428</v>
      </c>
      <c r="J616" t="s">
        <v>615</v>
      </c>
      <c r="K616" t="s">
        <v>55</v>
      </c>
      <c r="L616" t="s">
        <v>55</v>
      </c>
      <c r="M616" t="s">
        <v>1459</v>
      </c>
    </row>
    <row r="617" spans="1:13" ht="15" customHeight="1" x14ac:dyDescent="0.25">
      <c r="A617" t="s">
        <v>1832</v>
      </c>
      <c r="B617" t="s">
        <v>327</v>
      </c>
      <c r="C617">
        <v>544128</v>
      </c>
      <c r="D617" t="s">
        <v>1499</v>
      </c>
      <c r="E617" t="s">
        <v>1500</v>
      </c>
      <c r="F617" t="s">
        <v>1501</v>
      </c>
      <c r="G617" t="s">
        <v>1502</v>
      </c>
      <c r="H617" t="s">
        <v>1050</v>
      </c>
      <c r="I617" t="s">
        <v>1428</v>
      </c>
      <c r="J617" t="s">
        <v>1075</v>
      </c>
      <c r="K617" t="s">
        <v>55</v>
      </c>
      <c r="L617" t="s">
        <v>55</v>
      </c>
      <c r="M617" t="s">
        <v>1503</v>
      </c>
    </row>
    <row r="618" spans="1:13" ht="15" customHeight="1" x14ac:dyDescent="0.25">
      <c r="A618" t="s">
        <v>1832</v>
      </c>
      <c r="B618" t="s">
        <v>327</v>
      </c>
      <c r="C618">
        <v>543500</v>
      </c>
      <c r="D618" t="s">
        <v>1504</v>
      </c>
      <c r="E618" t="s">
        <v>1505</v>
      </c>
      <c r="F618" t="s">
        <v>1506</v>
      </c>
      <c r="G618" t="s">
        <v>1507</v>
      </c>
      <c r="H618" t="s">
        <v>1508</v>
      </c>
      <c r="I618" t="s">
        <v>1428</v>
      </c>
      <c r="J618" t="s">
        <v>615</v>
      </c>
      <c r="K618" t="s">
        <v>55</v>
      </c>
      <c r="L618" t="s">
        <v>55</v>
      </c>
      <c r="M618" t="s">
        <v>1509</v>
      </c>
    </row>
    <row r="619" spans="1:13" ht="15" customHeight="1" x14ac:dyDescent="0.25">
      <c r="A619" t="s">
        <v>1832</v>
      </c>
      <c r="B619" t="s">
        <v>327</v>
      </c>
      <c r="C619">
        <v>543668</v>
      </c>
      <c r="D619" t="s">
        <v>1510</v>
      </c>
      <c r="E619" t="s">
        <v>1511</v>
      </c>
      <c r="F619" t="s">
        <v>1512</v>
      </c>
      <c r="G619" t="s">
        <v>1513</v>
      </c>
      <c r="H619" t="s">
        <v>803</v>
      </c>
      <c r="I619" t="s">
        <v>1428</v>
      </c>
      <c r="J619" t="s">
        <v>615</v>
      </c>
      <c r="K619" t="s">
        <v>55</v>
      </c>
      <c r="L619" t="s">
        <v>55</v>
      </c>
      <c r="M619" t="s">
        <v>1470</v>
      </c>
    </row>
    <row r="620" spans="1:13" ht="15" customHeight="1" x14ac:dyDescent="0.25">
      <c r="A620" t="s">
        <v>1832</v>
      </c>
      <c r="B620" t="s">
        <v>327</v>
      </c>
      <c r="C620">
        <v>543596</v>
      </c>
      <c r="D620" t="s">
        <v>1514</v>
      </c>
      <c r="E620" t="s">
        <v>1515</v>
      </c>
      <c r="F620" t="s">
        <v>1516</v>
      </c>
      <c r="G620" t="s">
        <v>1517</v>
      </c>
      <c r="H620" t="s">
        <v>1464</v>
      </c>
      <c r="I620" t="s">
        <v>1428</v>
      </c>
      <c r="J620" t="s">
        <v>615</v>
      </c>
      <c r="K620" t="s">
        <v>55</v>
      </c>
      <c r="L620" t="s">
        <v>55</v>
      </c>
      <c r="M620" t="s">
        <v>1518</v>
      </c>
    </row>
    <row r="621" spans="1:13" ht="15" customHeight="1" x14ac:dyDescent="0.25">
      <c r="A621" t="s">
        <v>1832</v>
      </c>
      <c r="B621" t="s">
        <v>327</v>
      </c>
      <c r="C621">
        <v>543670</v>
      </c>
      <c r="D621" t="s">
        <v>1519</v>
      </c>
      <c r="E621" t="s">
        <v>1520</v>
      </c>
      <c r="F621" t="s">
        <v>1521</v>
      </c>
      <c r="G621" t="s">
        <v>1522</v>
      </c>
      <c r="H621" t="s">
        <v>999</v>
      </c>
      <c r="I621" t="s">
        <v>1428</v>
      </c>
      <c r="J621" t="s">
        <v>1523</v>
      </c>
      <c r="K621" t="s">
        <v>55</v>
      </c>
      <c r="L621" t="s">
        <v>55</v>
      </c>
      <c r="M621" t="s">
        <v>1827</v>
      </c>
    </row>
    <row r="622" spans="1:13" ht="15" customHeight="1" x14ac:dyDescent="0.25">
      <c r="A622" t="s">
        <v>1832</v>
      </c>
      <c r="B622" t="s">
        <v>327</v>
      </c>
      <c r="C622">
        <v>543511</v>
      </c>
      <c r="D622" t="s">
        <v>1525</v>
      </c>
      <c r="E622" t="s">
        <v>800</v>
      </c>
      <c r="F622" t="s">
        <v>1526</v>
      </c>
      <c r="G622" t="s">
        <v>1527</v>
      </c>
      <c r="H622" t="s">
        <v>1008</v>
      </c>
      <c r="I622" t="s">
        <v>1428</v>
      </c>
      <c r="J622" t="s">
        <v>615</v>
      </c>
      <c r="K622" t="s">
        <v>55</v>
      </c>
      <c r="L622" t="s">
        <v>55</v>
      </c>
      <c r="M622" t="s">
        <v>1454</v>
      </c>
    </row>
    <row r="623" spans="1:13" ht="15" customHeight="1" x14ac:dyDescent="0.25">
      <c r="A623" t="s">
        <v>1832</v>
      </c>
      <c r="B623" t="s">
        <v>327</v>
      </c>
      <c r="C623">
        <v>543597</v>
      </c>
      <c r="D623" t="s">
        <v>1528</v>
      </c>
      <c r="E623" t="s">
        <v>1529</v>
      </c>
      <c r="F623" t="s">
        <v>1530</v>
      </c>
      <c r="G623" t="s">
        <v>1531</v>
      </c>
      <c r="H623" t="s">
        <v>999</v>
      </c>
      <c r="I623" t="s">
        <v>1428</v>
      </c>
      <c r="J623" t="s">
        <v>609</v>
      </c>
      <c r="K623" t="s">
        <v>55</v>
      </c>
      <c r="L623" t="s">
        <v>55</v>
      </c>
      <c r="M623" t="s">
        <v>1509</v>
      </c>
    </row>
    <row r="624" spans="1:13" ht="15" customHeight="1" x14ac:dyDescent="0.25">
      <c r="A624" t="s">
        <v>1832</v>
      </c>
      <c r="B624" t="s">
        <v>327</v>
      </c>
      <c r="C624">
        <v>543669</v>
      </c>
      <c r="D624" t="s">
        <v>1532</v>
      </c>
      <c r="E624" t="s">
        <v>1533</v>
      </c>
      <c r="F624" t="s">
        <v>1534</v>
      </c>
      <c r="G624" t="s">
        <v>1535</v>
      </c>
      <c r="H624" t="s">
        <v>1481</v>
      </c>
      <c r="I624" t="s">
        <v>1428</v>
      </c>
      <c r="J624" t="s">
        <v>631</v>
      </c>
      <c r="K624" t="s">
        <v>55</v>
      </c>
      <c r="L624" t="s">
        <v>55</v>
      </c>
      <c r="M624" t="s">
        <v>1536</v>
      </c>
    </row>
    <row r="625" spans="1:13" ht="15" customHeight="1" x14ac:dyDescent="0.25">
      <c r="A625" t="s">
        <v>1832</v>
      </c>
      <c r="B625" t="s">
        <v>327</v>
      </c>
      <c r="C625">
        <v>543591</v>
      </c>
      <c r="D625" t="s">
        <v>1537</v>
      </c>
      <c r="E625" t="s">
        <v>1538</v>
      </c>
      <c r="F625" t="s">
        <v>1539</v>
      </c>
      <c r="G625" t="s">
        <v>1540</v>
      </c>
      <c r="H625" t="s">
        <v>999</v>
      </c>
      <c r="I625" t="s">
        <v>1428</v>
      </c>
      <c r="J625" t="s">
        <v>1541</v>
      </c>
      <c r="K625" t="s">
        <v>55</v>
      </c>
      <c r="L625" t="s">
        <v>55</v>
      </c>
      <c r="M625" t="s">
        <v>1448</v>
      </c>
    </row>
    <row r="626" spans="1:13" ht="15" customHeight="1" x14ac:dyDescent="0.25">
      <c r="A626" t="s">
        <v>1832</v>
      </c>
      <c r="B626" t="s">
        <v>327</v>
      </c>
      <c r="C626">
        <v>543600</v>
      </c>
      <c r="D626" t="s">
        <v>1543</v>
      </c>
      <c r="E626" t="s">
        <v>1548</v>
      </c>
      <c r="F626" t="s">
        <v>1549</v>
      </c>
      <c r="G626" t="s">
        <v>1550</v>
      </c>
      <c r="H626" t="s">
        <v>999</v>
      </c>
      <c r="I626" t="s">
        <v>1428</v>
      </c>
      <c r="J626" t="s">
        <v>1551</v>
      </c>
      <c r="K626" t="s">
        <v>55</v>
      </c>
      <c r="L626" t="s">
        <v>55</v>
      </c>
      <c r="M626" t="s">
        <v>1552</v>
      </c>
    </row>
    <row r="627" spans="1:13" ht="15" customHeight="1" x14ac:dyDescent="0.25">
      <c r="A627" t="s">
        <v>1832</v>
      </c>
      <c r="B627" t="s">
        <v>327</v>
      </c>
      <c r="C627">
        <v>543608</v>
      </c>
      <c r="D627" t="s">
        <v>1543</v>
      </c>
      <c r="E627" t="s">
        <v>1544</v>
      </c>
      <c r="F627" t="s">
        <v>1545</v>
      </c>
      <c r="G627" t="s">
        <v>1546</v>
      </c>
      <c r="H627" t="s">
        <v>999</v>
      </c>
      <c r="I627" t="s">
        <v>1428</v>
      </c>
      <c r="J627" t="s">
        <v>927</v>
      </c>
      <c r="K627" t="s">
        <v>55</v>
      </c>
      <c r="L627" t="s">
        <v>55</v>
      </c>
      <c r="M627" t="s">
        <v>1547</v>
      </c>
    </row>
    <row r="628" spans="1:13" ht="15" customHeight="1" x14ac:dyDescent="0.25">
      <c r="A628" t="s">
        <v>1832</v>
      </c>
      <c r="B628" t="s">
        <v>327</v>
      </c>
      <c r="C628">
        <v>543513</v>
      </c>
      <c r="D628" t="s">
        <v>1046</v>
      </c>
      <c r="E628" t="s">
        <v>1047</v>
      </c>
      <c r="F628" t="s">
        <v>1048</v>
      </c>
      <c r="G628" t="s">
        <v>1049</v>
      </c>
      <c r="H628" t="s">
        <v>1050</v>
      </c>
      <c r="I628" t="s">
        <v>1428</v>
      </c>
      <c r="J628" t="s">
        <v>1051</v>
      </c>
      <c r="K628" t="s">
        <v>55</v>
      </c>
      <c r="L628" t="s">
        <v>55</v>
      </c>
      <c r="M628" t="s">
        <v>1828</v>
      </c>
    </row>
    <row r="629" spans="1:13" ht="15" customHeight="1" x14ac:dyDescent="0.25">
      <c r="A629" t="s">
        <v>1832</v>
      </c>
      <c r="B629" t="s">
        <v>327</v>
      </c>
      <c r="C629">
        <v>544088</v>
      </c>
      <c r="D629" t="s">
        <v>1554</v>
      </c>
      <c r="E629" t="s">
        <v>1555</v>
      </c>
      <c r="F629" t="s">
        <v>1556</v>
      </c>
      <c r="G629" t="s">
        <v>1557</v>
      </c>
      <c r="H629" t="s">
        <v>1481</v>
      </c>
      <c r="I629" t="s">
        <v>1428</v>
      </c>
      <c r="J629" t="s">
        <v>620</v>
      </c>
      <c r="K629" t="s">
        <v>55</v>
      </c>
      <c r="L629" t="s">
        <v>55</v>
      </c>
      <c r="M629" t="s">
        <v>1558</v>
      </c>
    </row>
    <row r="630" spans="1:13" ht="15" customHeight="1" x14ac:dyDescent="0.25">
      <c r="A630" t="s">
        <v>1832</v>
      </c>
      <c r="B630" t="s">
        <v>327</v>
      </c>
      <c r="C630">
        <v>544093</v>
      </c>
      <c r="D630" t="s">
        <v>1559</v>
      </c>
      <c r="E630" t="s">
        <v>1560</v>
      </c>
      <c r="F630" t="s">
        <v>1561</v>
      </c>
      <c r="G630" t="s">
        <v>1562</v>
      </c>
      <c r="H630" t="s">
        <v>999</v>
      </c>
      <c r="I630" t="s">
        <v>1428</v>
      </c>
      <c r="J630" t="s">
        <v>637</v>
      </c>
      <c r="K630" t="s">
        <v>55</v>
      </c>
      <c r="L630" t="s">
        <v>55</v>
      </c>
      <c r="M630" t="s">
        <v>1563</v>
      </c>
    </row>
    <row r="631" spans="1:13" ht="15" customHeight="1" x14ac:dyDescent="0.25">
      <c r="A631" t="s">
        <v>1832</v>
      </c>
      <c r="B631" t="s">
        <v>327</v>
      </c>
      <c r="C631">
        <v>544092</v>
      </c>
      <c r="D631" t="s">
        <v>1564</v>
      </c>
      <c r="E631" t="s">
        <v>1565</v>
      </c>
      <c r="F631" t="s">
        <v>1566</v>
      </c>
      <c r="G631" t="s">
        <v>1567</v>
      </c>
      <c r="H631" t="s">
        <v>999</v>
      </c>
      <c r="I631" t="s">
        <v>1428</v>
      </c>
      <c r="J631" t="s">
        <v>1568</v>
      </c>
      <c r="K631" t="s">
        <v>55</v>
      </c>
      <c r="L631" t="s">
        <v>55</v>
      </c>
      <c r="M631" t="s">
        <v>1569</v>
      </c>
    </row>
    <row r="632" spans="1:13" ht="15" customHeight="1" x14ac:dyDescent="0.25">
      <c r="A632" t="s">
        <v>1832</v>
      </c>
      <c r="B632" t="s">
        <v>327</v>
      </c>
      <c r="C632">
        <v>543811</v>
      </c>
      <c r="D632" t="s">
        <v>1570</v>
      </c>
      <c r="E632" t="s">
        <v>1571</v>
      </c>
      <c r="F632" t="s">
        <v>1572</v>
      </c>
      <c r="G632" t="s">
        <v>1573</v>
      </c>
      <c r="H632" t="s">
        <v>1464</v>
      </c>
      <c r="I632" t="s">
        <v>1428</v>
      </c>
      <c r="J632" t="s">
        <v>615</v>
      </c>
      <c r="K632" t="s">
        <v>55</v>
      </c>
      <c r="L632" t="s">
        <v>55</v>
      </c>
      <c r="M632" t="s">
        <v>1454</v>
      </c>
    </row>
    <row r="633" spans="1:13" ht="15" customHeight="1" x14ac:dyDescent="0.25">
      <c r="A633" t="s">
        <v>1832</v>
      </c>
      <c r="B633" t="s">
        <v>327</v>
      </c>
      <c r="C633">
        <v>544109</v>
      </c>
      <c r="D633" t="s">
        <v>1829</v>
      </c>
      <c r="E633" t="s">
        <v>891</v>
      </c>
      <c r="F633" t="s">
        <v>892</v>
      </c>
      <c r="G633" t="s">
        <v>893</v>
      </c>
      <c r="H633" t="s">
        <v>1830</v>
      </c>
      <c r="I633" t="s">
        <v>1428</v>
      </c>
      <c r="J633" t="s">
        <v>660</v>
      </c>
      <c r="K633" t="s">
        <v>55</v>
      </c>
      <c r="L633" t="s">
        <v>55</v>
      </c>
      <c r="M633" t="s">
        <v>1476</v>
      </c>
    </row>
    <row r="634" spans="1:13" ht="15" customHeight="1" x14ac:dyDescent="0.25">
      <c r="A634" t="s">
        <v>1832</v>
      </c>
      <c r="B634" t="s">
        <v>327</v>
      </c>
      <c r="C634">
        <v>543712</v>
      </c>
      <c r="D634" t="s">
        <v>1574</v>
      </c>
      <c r="E634" t="s">
        <v>1575</v>
      </c>
      <c r="F634" t="s">
        <v>1576</v>
      </c>
      <c r="G634" t="s">
        <v>1577</v>
      </c>
      <c r="H634" t="s">
        <v>1199</v>
      </c>
      <c r="I634" t="s">
        <v>1428</v>
      </c>
      <c r="J634" t="s">
        <v>631</v>
      </c>
      <c r="K634" t="s">
        <v>55</v>
      </c>
      <c r="L634" t="s">
        <v>55</v>
      </c>
      <c r="M634" t="s">
        <v>1429</v>
      </c>
    </row>
    <row r="635" spans="1:13" ht="15" customHeight="1" x14ac:dyDescent="0.25">
      <c r="A635" t="s">
        <v>1832</v>
      </c>
      <c r="B635" t="s">
        <v>327</v>
      </c>
      <c r="C635">
        <v>543658</v>
      </c>
      <c r="D635" t="s">
        <v>1578</v>
      </c>
      <c r="E635" t="s">
        <v>891</v>
      </c>
      <c r="F635" t="s">
        <v>1579</v>
      </c>
      <c r="G635" t="s">
        <v>1580</v>
      </c>
      <c r="H635" t="s">
        <v>1008</v>
      </c>
      <c r="I635" t="s">
        <v>1428</v>
      </c>
      <c r="J635" t="s">
        <v>715</v>
      </c>
      <c r="K635" t="s">
        <v>55</v>
      </c>
      <c r="L635" t="s">
        <v>55</v>
      </c>
      <c r="M635" t="s">
        <v>1831</v>
      </c>
    </row>
    <row r="636" spans="1:13" ht="15" customHeight="1" x14ac:dyDescent="0.25">
      <c r="A636" t="s">
        <v>1832</v>
      </c>
      <c r="B636" t="s">
        <v>327</v>
      </c>
      <c r="C636">
        <v>543657</v>
      </c>
      <c r="D636" t="s">
        <v>1582</v>
      </c>
      <c r="E636" t="s">
        <v>1583</v>
      </c>
      <c r="F636" t="s">
        <v>1584</v>
      </c>
      <c r="G636" t="s">
        <v>1585</v>
      </c>
      <c r="H636" t="s">
        <v>911</v>
      </c>
      <c r="I636" t="s">
        <v>1428</v>
      </c>
      <c r="J636" t="s">
        <v>631</v>
      </c>
      <c r="K636" t="s">
        <v>55</v>
      </c>
      <c r="L636" t="s">
        <v>55</v>
      </c>
      <c r="M636" t="s">
        <v>1586</v>
      </c>
    </row>
    <row r="637" spans="1:13" ht="15" customHeight="1" x14ac:dyDescent="0.25">
      <c r="A637" t="s">
        <v>1832</v>
      </c>
      <c r="B637" t="s">
        <v>327</v>
      </c>
      <c r="C637">
        <v>543656</v>
      </c>
      <c r="D637" t="s">
        <v>1587</v>
      </c>
      <c r="E637" t="s">
        <v>1588</v>
      </c>
      <c r="F637" t="s">
        <v>1589</v>
      </c>
      <c r="G637" t="s">
        <v>1590</v>
      </c>
      <c r="H637" t="s">
        <v>911</v>
      </c>
      <c r="I637" t="s">
        <v>1428</v>
      </c>
      <c r="J637" t="s">
        <v>631</v>
      </c>
      <c r="K637" t="s">
        <v>55</v>
      </c>
      <c r="L637" t="s">
        <v>55</v>
      </c>
      <c r="M637" t="s">
        <v>1586</v>
      </c>
    </row>
    <row r="638" spans="1:13" ht="15" customHeight="1" x14ac:dyDescent="0.25">
      <c r="A638" t="s">
        <v>1832</v>
      </c>
      <c r="B638" t="s">
        <v>327</v>
      </c>
      <c r="C638">
        <v>543514</v>
      </c>
      <c r="D638" t="s">
        <v>1162</v>
      </c>
      <c r="E638" t="s">
        <v>1163</v>
      </c>
      <c r="F638" t="s">
        <v>1164</v>
      </c>
      <c r="G638" t="s">
        <v>1165</v>
      </c>
      <c r="H638" t="s">
        <v>999</v>
      </c>
      <c r="I638" t="s">
        <v>1428</v>
      </c>
      <c r="J638" t="s">
        <v>596</v>
      </c>
      <c r="K638" t="s">
        <v>55</v>
      </c>
      <c r="L638" t="s">
        <v>55</v>
      </c>
      <c r="M638" t="s">
        <v>1459</v>
      </c>
    </row>
    <row r="639" spans="1:13" ht="15" customHeight="1" x14ac:dyDescent="0.25">
      <c r="A639" t="s">
        <v>1832</v>
      </c>
      <c r="B639" t="s">
        <v>327</v>
      </c>
      <c r="C639">
        <v>543661</v>
      </c>
      <c r="D639" t="s">
        <v>1592</v>
      </c>
      <c r="E639" t="s">
        <v>1593</v>
      </c>
      <c r="F639" t="s">
        <v>1594</v>
      </c>
      <c r="G639" t="s">
        <v>1595</v>
      </c>
      <c r="H639" t="s">
        <v>1596</v>
      </c>
      <c r="I639" t="s">
        <v>1428</v>
      </c>
      <c r="J639" t="s">
        <v>603</v>
      </c>
      <c r="K639" t="s">
        <v>55</v>
      </c>
      <c r="L639" t="s">
        <v>55</v>
      </c>
      <c r="M639" t="s">
        <v>1597</v>
      </c>
    </row>
    <row r="640" spans="1:13" ht="15" customHeight="1" x14ac:dyDescent="0.25">
      <c r="A640" t="s">
        <v>1832</v>
      </c>
      <c r="B640" t="s">
        <v>327</v>
      </c>
      <c r="C640">
        <v>543501</v>
      </c>
      <c r="D640" t="s">
        <v>1598</v>
      </c>
      <c r="E640" t="s">
        <v>1599</v>
      </c>
      <c r="F640" t="s">
        <v>1600</v>
      </c>
      <c r="G640" t="s">
        <v>1601</v>
      </c>
      <c r="H640" t="s">
        <v>999</v>
      </c>
      <c r="I640" t="s">
        <v>1428</v>
      </c>
      <c r="J640" t="s">
        <v>615</v>
      </c>
      <c r="K640" t="s">
        <v>55</v>
      </c>
      <c r="L640" t="s">
        <v>55</v>
      </c>
      <c r="M640" t="s">
        <v>1465</v>
      </c>
    </row>
    <row r="641" spans="1:13" ht="15" customHeight="1" x14ac:dyDescent="0.25">
      <c r="A641" t="s">
        <v>1832</v>
      </c>
      <c r="B641" t="s">
        <v>327</v>
      </c>
      <c r="C641">
        <v>543594</v>
      </c>
      <c r="D641" t="s">
        <v>1603</v>
      </c>
      <c r="E641" t="s">
        <v>1604</v>
      </c>
      <c r="F641" t="s">
        <v>1605</v>
      </c>
      <c r="G641" t="s">
        <v>1606</v>
      </c>
      <c r="H641" t="s">
        <v>1377</v>
      </c>
      <c r="I641" t="s">
        <v>1428</v>
      </c>
      <c r="J641" t="s">
        <v>631</v>
      </c>
      <c r="K641" t="s">
        <v>55</v>
      </c>
      <c r="L641" t="s">
        <v>55</v>
      </c>
      <c r="M641" t="s">
        <v>1607</v>
      </c>
    </row>
    <row r="642" spans="1:13" ht="15" customHeight="1" x14ac:dyDescent="0.25">
      <c r="A642" t="s">
        <v>1832</v>
      </c>
      <c r="B642" t="s">
        <v>327</v>
      </c>
      <c r="C642">
        <v>544095</v>
      </c>
      <c r="D642" t="s">
        <v>1608</v>
      </c>
      <c r="E642" t="s">
        <v>1609</v>
      </c>
      <c r="F642" t="s">
        <v>1610</v>
      </c>
      <c r="G642" t="s">
        <v>1611</v>
      </c>
      <c r="H642" t="s">
        <v>999</v>
      </c>
      <c r="I642" t="s">
        <v>1428</v>
      </c>
      <c r="J642" t="s">
        <v>751</v>
      </c>
      <c r="K642" t="s">
        <v>55</v>
      </c>
      <c r="L642" t="s">
        <v>55</v>
      </c>
      <c r="M642" t="s">
        <v>1612</v>
      </c>
    </row>
    <row r="643" spans="1:13" ht="15" customHeight="1" x14ac:dyDescent="0.25">
      <c r="A643" t="s">
        <v>1832</v>
      </c>
      <c r="B643" t="s">
        <v>327</v>
      </c>
      <c r="C643">
        <v>543504</v>
      </c>
      <c r="D643" t="s">
        <v>1613</v>
      </c>
      <c r="E643" t="s">
        <v>1614</v>
      </c>
      <c r="F643" t="s">
        <v>1615</v>
      </c>
      <c r="G643" t="s">
        <v>1616</v>
      </c>
      <c r="H643" t="s">
        <v>1199</v>
      </c>
      <c r="I643" t="s">
        <v>1428</v>
      </c>
      <c r="J643" t="s">
        <v>620</v>
      </c>
      <c r="K643" t="s">
        <v>55</v>
      </c>
      <c r="L643" t="s">
        <v>55</v>
      </c>
      <c r="M643" t="s">
        <v>1617</v>
      </c>
    </row>
    <row r="644" spans="1:13" ht="15" customHeight="1" x14ac:dyDescent="0.25">
      <c r="A644" t="s">
        <v>1832</v>
      </c>
      <c r="B644" t="s">
        <v>327</v>
      </c>
      <c r="C644">
        <v>543508</v>
      </c>
      <c r="D644" t="s">
        <v>1409</v>
      </c>
      <c r="E644" t="s">
        <v>1618</v>
      </c>
      <c r="F644" t="s">
        <v>1619</v>
      </c>
      <c r="G644" t="s">
        <v>1620</v>
      </c>
      <c r="H644" t="s">
        <v>1199</v>
      </c>
      <c r="I644" t="s">
        <v>1428</v>
      </c>
      <c r="J644" t="s">
        <v>1621</v>
      </c>
      <c r="K644" t="s">
        <v>55</v>
      </c>
      <c r="L644" t="s">
        <v>55</v>
      </c>
      <c r="M644" t="s">
        <v>1622</v>
      </c>
    </row>
    <row r="645" spans="1:13" ht="15" customHeight="1" x14ac:dyDescent="0.25">
      <c r="A645" t="s">
        <v>1832</v>
      </c>
      <c r="B645" t="s">
        <v>327</v>
      </c>
      <c r="C645">
        <v>543505</v>
      </c>
      <c r="D645" t="s">
        <v>1623</v>
      </c>
      <c r="E645" t="s">
        <v>1624</v>
      </c>
      <c r="F645" t="s">
        <v>1625</v>
      </c>
      <c r="G645" t="s">
        <v>1626</v>
      </c>
      <c r="H645" t="s">
        <v>1475</v>
      </c>
      <c r="I645" t="s">
        <v>1428</v>
      </c>
      <c r="J645" t="s">
        <v>620</v>
      </c>
      <c r="K645" t="s">
        <v>55</v>
      </c>
      <c r="L645" t="s">
        <v>55</v>
      </c>
      <c r="M645" t="s">
        <v>1547</v>
      </c>
    </row>
    <row r="646" spans="1:13" ht="15" customHeight="1" x14ac:dyDescent="0.25">
      <c r="A646" t="s">
        <v>1832</v>
      </c>
      <c r="B646" t="s">
        <v>327</v>
      </c>
      <c r="C646">
        <v>543510</v>
      </c>
      <c r="D646" t="s">
        <v>1623</v>
      </c>
      <c r="E646" t="s">
        <v>1627</v>
      </c>
      <c r="F646" t="s">
        <v>1628</v>
      </c>
      <c r="G646" t="s">
        <v>1629</v>
      </c>
      <c r="H646" t="s">
        <v>1475</v>
      </c>
      <c r="I646" t="s">
        <v>1428</v>
      </c>
      <c r="J646" t="s">
        <v>620</v>
      </c>
      <c r="K646" t="s">
        <v>55</v>
      </c>
      <c r="L646" t="s">
        <v>55</v>
      </c>
      <c r="M646" t="s">
        <v>1617</v>
      </c>
    </row>
    <row r="647" spans="1:13" ht="15" customHeight="1" x14ac:dyDescent="0.25">
      <c r="A647" t="s">
        <v>1832</v>
      </c>
      <c r="B647" t="s">
        <v>327</v>
      </c>
      <c r="C647">
        <v>543660</v>
      </c>
      <c r="D647" t="s">
        <v>1630</v>
      </c>
      <c r="E647" t="s">
        <v>1631</v>
      </c>
      <c r="F647" t="s">
        <v>1632</v>
      </c>
      <c r="G647" t="s">
        <v>1633</v>
      </c>
      <c r="H647" t="s">
        <v>1199</v>
      </c>
      <c r="I647" t="s">
        <v>1428</v>
      </c>
      <c r="J647" t="s">
        <v>620</v>
      </c>
      <c r="K647" t="s">
        <v>55</v>
      </c>
      <c r="L647" t="s">
        <v>55</v>
      </c>
      <c r="M647" t="s">
        <v>1634</v>
      </c>
    </row>
    <row r="648" spans="1:13" ht="15" customHeight="1" x14ac:dyDescent="0.25">
      <c r="A648" t="s">
        <v>1832</v>
      </c>
      <c r="B648" t="s">
        <v>327</v>
      </c>
      <c r="C648">
        <v>544094</v>
      </c>
      <c r="D648" t="s">
        <v>1635</v>
      </c>
      <c r="E648" t="s">
        <v>1636</v>
      </c>
      <c r="F648" t="s">
        <v>1637</v>
      </c>
      <c r="G648" t="s">
        <v>1638</v>
      </c>
      <c r="H648" t="s">
        <v>999</v>
      </c>
      <c r="I648" t="s">
        <v>1428</v>
      </c>
      <c r="J648" t="s">
        <v>631</v>
      </c>
      <c r="K648" t="s">
        <v>55</v>
      </c>
      <c r="L648" t="s">
        <v>55</v>
      </c>
      <c r="M648" t="s">
        <v>1429</v>
      </c>
    </row>
    <row r="649" spans="1:13" ht="15" customHeight="1" x14ac:dyDescent="0.25">
      <c r="A649" t="s">
        <v>1832</v>
      </c>
      <c r="B649" t="s">
        <v>327</v>
      </c>
      <c r="C649">
        <v>543515</v>
      </c>
      <c r="D649" t="s">
        <v>1288</v>
      </c>
      <c r="E649" t="s">
        <v>1289</v>
      </c>
      <c r="F649" t="s">
        <v>1290</v>
      </c>
      <c r="G649" t="s">
        <v>1291</v>
      </c>
      <c r="H649" t="s">
        <v>803</v>
      </c>
      <c r="I649" t="s">
        <v>1428</v>
      </c>
      <c r="J649" t="s">
        <v>927</v>
      </c>
      <c r="K649" t="s">
        <v>55</v>
      </c>
      <c r="L649" t="s">
        <v>55</v>
      </c>
      <c r="M649" t="s">
        <v>1640</v>
      </c>
    </row>
    <row r="650" spans="1:13" ht="15" customHeight="1" x14ac:dyDescent="0.25">
      <c r="A650" t="s">
        <v>1832</v>
      </c>
      <c r="B650" t="s">
        <v>327</v>
      </c>
      <c r="C650">
        <v>543516</v>
      </c>
      <c r="D650" t="s">
        <v>1641</v>
      </c>
      <c r="E650" t="s">
        <v>1642</v>
      </c>
      <c r="F650" t="s">
        <v>1643</v>
      </c>
      <c r="G650" t="s">
        <v>1644</v>
      </c>
      <c r="H650" t="s">
        <v>999</v>
      </c>
      <c r="I650" t="s">
        <v>1428</v>
      </c>
      <c r="J650" t="s">
        <v>1645</v>
      </c>
      <c r="K650" t="s">
        <v>55</v>
      </c>
      <c r="L650" t="s">
        <v>55</v>
      </c>
      <c r="M650" t="s">
        <v>1509</v>
      </c>
    </row>
    <row r="651" spans="1:13" ht="15" customHeight="1" x14ac:dyDescent="0.25">
      <c r="A651" t="s">
        <v>1833</v>
      </c>
      <c r="B651" t="s">
        <v>327</v>
      </c>
      <c r="C651">
        <v>544069</v>
      </c>
      <c r="D651" t="s">
        <v>1424</v>
      </c>
      <c r="E651" t="s">
        <v>1425</v>
      </c>
      <c r="F651" t="s">
        <v>1426</v>
      </c>
      <c r="G651" t="s">
        <v>1427</v>
      </c>
      <c r="H651" t="s">
        <v>1199</v>
      </c>
      <c r="I651" t="s">
        <v>1428</v>
      </c>
      <c r="J651" t="s">
        <v>770</v>
      </c>
      <c r="K651" t="s">
        <v>55</v>
      </c>
      <c r="L651" t="s">
        <v>55</v>
      </c>
      <c r="M651" t="s">
        <v>1639</v>
      </c>
    </row>
    <row r="652" spans="1:13" ht="15" customHeight="1" x14ac:dyDescent="0.25">
      <c r="A652" t="s">
        <v>1833</v>
      </c>
      <c r="B652" t="s">
        <v>327</v>
      </c>
      <c r="C652">
        <v>544090</v>
      </c>
      <c r="D652" t="s">
        <v>1430</v>
      </c>
      <c r="E652" t="s">
        <v>1431</v>
      </c>
      <c r="F652" t="s">
        <v>1432</v>
      </c>
      <c r="G652" t="s">
        <v>1433</v>
      </c>
      <c r="H652" t="s">
        <v>999</v>
      </c>
      <c r="I652" t="s">
        <v>1428</v>
      </c>
      <c r="J652" t="s">
        <v>1305</v>
      </c>
      <c r="K652" t="s">
        <v>55</v>
      </c>
      <c r="L652" t="s">
        <v>55</v>
      </c>
      <c r="M652" t="s">
        <v>1434</v>
      </c>
    </row>
    <row r="653" spans="1:13" ht="15" customHeight="1" x14ac:dyDescent="0.25">
      <c r="A653" t="s">
        <v>1833</v>
      </c>
      <c r="B653" t="s">
        <v>327</v>
      </c>
      <c r="C653">
        <v>543655</v>
      </c>
      <c r="D653" t="s">
        <v>1435</v>
      </c>
      <c r="E653" t="s">
        <v>1436</v>
      </c>
      <c r="F653" t="s">
        <v>1437</v>
      </c>
      <c r="G653" t="s">
        <v>1438</v>
      </c>
      <c r="H653" t="s">
        <v>1008</v>
      </c>
      <c r="I653" t="s">
        <v>1428</v>
      </c>
      <c r="J653" t="s">
        <v>809</v>
      </c>
      <c r="K653" t="s">
        <v>55</v>
      </c>
      <c r="L653" t="s">
        <v>55</v>
      </c>
      <c r="M653" t="s">
        <v>1439</v>
      </c>
    </row>
    <row r="654" spans="1:13" ht="15" customHeight="1" x14ac:dyDescent="0.25">
      <c r="A654" t="s">
        <v>1833</v>
      </c>
      <c r="B654" t="s">
        <v>327</v>
      </c>
      <c r="C654">
        <v>543710</v>
      </c>
      <c r="D654" t="s">
        <v>1440</v>
      </c>
      <c r="E654" t="s">
        <v>1441</v>
      </c>
      <c r="F654" t="s">
        <v>1442</v>
      </c>
      <c r="G654" t="s">
        <v>1443</v>
      </c>
      <c r="H654" t="s">
        <v>999</v>
      </c>
      <c r="I654" t="s">
        <v>1428</v>
      </c>
      <c r="J654" t="s">
        <v>609</v>
      </c>
      <c r="K654" t="s">
        <v>55</v>
      </c>
      <c r="L654" t="s">
        <v>55</v>
      </c>
      <c r="M654" t="s">
        <v>1444</v>
      </c>
    </row>
    <row r="655" spans="1:13" ht="15" customHeight="1" x14ac:dyDescent="0.25">
      <c r="A655" t="s">
        <v>1833</v>
      </c>
      <c r="B655" t="s">
        <v>327</v>
      </c>
      <c r="C655">
        <v>543503</v>
      </c>
      <c r="D655" t="s">
        <v>1445</v>
      </c>
      <c r="E655" t="s">
        <v>683</v>
      </c>
      <c r="F655" t="s">
        <v>1446</v>
      </c>
      <c r="G655" t="s">
        <v>1447</v>
      </c>
      <c r="H655" t="s">
        <v>999</v>
      </c>
      <c r="I655" t="s">
        <v>1428</v>
      </c>
      <c r="J655" t="s">
        <v>715</v>
      </c>
      <c r="K655" t="s">
        <v>55</v>
      </c>
      <c r="L655" t="s">
        <v>55</v>
      </c>
      <c r="M655" t="s">
        <v>1448</v>
      </c>
    </row>
    <row r="656" spans="1:13" ht="15" customHeight="1" x14ac:dyDescent="0.25">
      <c r="A656" t="s">
        <v>1833</v>
      </c>
      <c r="B656" t="s">
        <v>327</v>
      </c>
      <c r="C656">
        <v>543599</v>
      </c>
      <c r="D656" t="s">
        <v>1449</v>
      </c>
      <c r="E656" t="s">
        <v>1450</v>
      </c>
      <c r="F656" t="s">
        <v>1451</v>
      </c>
      <c r="G656" t="s">
        <v>1452</v>
      </c>
      <c r="H656" t="s">
        <v>999</v>
      </c>
      <c r="I656" t="s">
        <v>1428</v>
      </c>
      <c r="J656" t="s">
        <v>777</v>
      </c>
      <c r="K656" t="s">
        <v>55</v>
      </c>
      <c r="L656" t="s">
        <v>55</v>
      </c>
      <c r="M656" t="s">
        <v>1453</v>
      </c>
    </row>
    <row r="657" spans="1:13" ht="15" customHeight="1" x14ac:dyDescent="0.25">
      <c r="A657" t="s">
        <v>1833</v>
      </c>
      <c r="B657" t="s">
        <v>327</v>
      </c>
      <c r="C657">
        <v>543601</v>
      </c>
      <c r="D657" t="s">
        <v>1331</v>
      </c>
      <c r="E657" t="s">
        <v>1332</v>
      </c>
      <c r="F657" t="s">
        <v>1333</v>
      </c>
      <c r="G657" t="s">
        <v>1334</v>
      </c>
      <c r="H657" t="s">
        <v>1199</v>
      </c>
      <c r="I657" t="s">
        <v>1428</v>
      </c>
      <c r="J657" t="s">
        <v>1335</v>
      </c>
      <c r="K657" t="s">
        <v>55</v>
      </c>
      <c r="L657" t="s">
        <v>55</v>
      </c>
      <c r="M657" t="s">
        <v>1454</v>
      </c>
    </row>
    <row r="658" spans="1:13" ht="15" customHeight="1" x14ac:dyDescent="0.25">
      <c r="A658" t="s">
        <v>1833</v>
      </c>
      <c r="B658" t="s">
        <v>327</v>
      </c>
      <c r="C658">
        <v>543502</v>
      </c>
      <c r="D658" t="s">
        <v>1455</v>
      </c>
      <c r="E658" t="s">
        <v>60</v>
      </c>
      <c r="F658" t="s">
        <v>1456</v>
      </c>
      <c r="G658" t="s">
        <v>1457</v>
      </c>
      <c r="H658" t="s">
        <v>999</v>
      </c>
      <c r="I658" t="s">
        <v>1428</v>
      </c>
      <c r="J658" t="s">
        <v>1458</v>
      </c>
      <c r="K658" t="s">
        <v>55</v>
      </c>
      <c r="L658" t="s">
        <v>55</v>
      </c>
      <c r="M658" t="s">
        <v>1459</v>
      </c>
    </row>
    <row r="659" spans="1:13" ht="15" customHeight="1" x14ac:dyDescent="0.25">
      <c r="A659" t="s">
        <v>1833</v>
      </c>
      <c r="B659" t="s">
        <v>327</v>
      </c>
      <c r="C659">
        <v>543659</v>
      </c>
      <c r="D659" t="s">
        <v>1460</v>
      </c>
      <c r="E659" t="s">
        <v>1461</v>
      </c>
      <c r="F659" t="s">
        <v>1462</v>
      </c>
      <c r="G659" t="s">
        <v>1463</v>
      </c>
      <c r="H659" t="s">
        <v>1464</v>
      </c>
      <c r="I659" t="s">
        <v>1428</v>
      </c>
      <c r="J659" t="s">
        <v>660</v>
      </c>
      <c r="K659" t="s">
        <v>55</v>
      </c>
      <c r="L659" t="s">
        <v>55</v>
      </c>
      <c r="M659" t="s">
        <v>1465</v>
      </c>
    </row>
    <row r="660" spans="1:13" ht="15" customHeight="1" x14ac:dyDescent="0.25">
      <c r="A660" t="s">
        <v>1833</v>
      </c>
      <c r="B660" t="s">
        <v>327</v>
      </c>
      <c r="C660">
        <v>544091</v>
      </c>
      <c r="D660" t="s">
        <v>1466</v>
      </c>
      <c r="E660" t="s">
        <v>1467</v>
      </c>
      <c r="F660" t="s">
        <v>1468</v>
      </c>
      <c r="G660" t="s">
        <v>1469</v>
      </c>
      <c r="H660" t="s">
        <v>1464</v>
      </c>
      <c r="I660" t="s">
        <v>1428</v>
      </c>
      <c r="J660" t="s">
        <v>620</v>
      </c>
      <c r="K660" t="s">
        <v>55</v>
      </c>
      <c r="L660" t="s">
        <v>55</v>
      </c>
      <c r="M660" t="s">
        <v>1826</v>
      </c>
    </row>
    <row r="661" spans="1:13" ht="15" customHeight="1" x14ac:dyDescent="0.25">
      <c r="A661" t="s">
        <v>1833</v>
      </c>
      <c r="B661" t="s">
        <v>327</v>
      </c>
      <c r="C661">
        <v>543509</v>
      </c>
      <c r="D661" t="s">
        <v>1471</v>
      </c>
      <c r="E661" t="s">
        <v>1472</v>
      </c>
      <c r="F661" t="s">
        <v>1473</v>
      </c>
      <c r="G661" t="s">
        <v>1474</v>
      </c>
      <c r="H661" t="s">
        <v>1475</v>
      </c>
      <c r="I661" t="s">
        <v>1428</v>
      </c>
      <c r="J661" t="s">
        <v>1263</v>
      </c>
      <c r="K661" t="s">
        <v>55</v>
      </c>
      <c r="L661" t="s">
        <v>55</v>
      </c>
      <c r="M661" t="s">
        <v>1476</v>
      </c>
    </row>
    <row r="662" spans="1:13" ht="15" customHeight="1" x14ac:dyDescent="0.25">
      <c r="A662" t="s">
        <v>1833</v>
      </c>
      <c r="B662" t="s">
        <v>327</v>
      </c>
      <c r="C662">
        <v>543711</v>
      </c>
      <c r="D662" t="s">
        <v>1477</v>
      </c>
      <c r="E662" t="s">
        <v>1478</v>
      </c>
      <c r="F662" t="s">
        <v>1479</v>
      </c>
      <c r="G662" t="s">
        <v>1480</v>
      </c>
      <c r="H662" t="s">
        <v>1481</v>
      </c>
      <c r="I662" t="s">
        <v>1428</v>
      </c>
      <c r="J662" t="s">
        <v>631</v>
      </c>
      <c r="K662" t="s">
        <v>55</v>
      </c>
      <c r="L662" t="s">
        <v>55</v>
      </c>
      <c r="M662" t="s">
        <v>1482</v>
      </c>
    </row>
    <row r="663" spans="1:13" ht="15" customHeight="1" x14ac:dyDescent="0.25">
      <c r="A663" t="s">
        <v>1833</v>
      </c>
      <c r="B663" t="s">
        <v>327</v>
      </c>
      <c r="C663">
        <v>543499</v>
      </c>
      <c r="D663" t="s">
        <v>1483</v>
      </c>
      <c r="E663" t="s">
        <v>1484</v>
      </c>
      <c r="F663" t="s">
        <v>1485</v>
      </c>
      <c r="G663" t="s">
        <v>1486</v>
      </c>
      <c r="H663" t="s">
        <v>1464</v>
      </c>
      <c r="I663" t="s">
        <v>1428</v>
      </c>
      <c r="J663" t="s">
        <v>751</v>
      </c>
      <c r="K663" t="s">
        <v>55</v>
      </c>
      <c r="L663" t="s">
        <v>55</v>
      </c>
      <c r="M663" t="s">
        <v>1487</v>
      </c>
    </row>
    <row r="664" spans="1:13" ht="15" customHeight="1" x14ac:dyDescent="0.25">
      <c r="A664" t="s">
        <v>1833</v>
      </c>
      <c r="B664" t="s">
        <v>327</v>
      </c>
      <c r="C664">
        <v>543507</v>
      </c>
      <c r="D664" t="s">
        <v>1342</v>
      </c>
      <c r="E664" t="s">
        <v>1346</v>
      </c>
      <c r="F664" t="s">
        <v>1347</v>
      </c>
      <c r="G664" t="s">
        <v>1348</v>
      </c>
      <c r="H664" t="s">
        <v>1199</v>
      </c>
      <c r="I664" t="s">
        <v>1428</v>
      </c>
      <c r="J664" t="s">
        <v>1349</v>
      </c>
      <c r="K664" t="s">
        <v>55</v>
      </c>
      <c r="L664" t="s">
        <v>55</v>
      </c>
      <c r="M664" t="s">
        <v>1429</v>
      </c>
    </row>
    <row r="665" spans="1:13" ht="15" customHeight="1" x14ac:dyDescent="0.25">
      <c r="A665" t="s">
        <v>1833</v>
      </c>
      <c r="B665" t="s">
        <v>327</v>
      </c>
      <c r="C665">
        <v>543512</v>
      </c>
      <c r="D665" t="s">
        <v>1488</v>
      </c>
      <c r="E665" t="s">
        <v>1489</v>
      </c>
      <c r="F665" t="s">
        <v>1490</v>
      </c>
      <c r="G665" t="s">
        <v>1491</v>
      </c>
      <c r="H665" t="s">
        <v>757</v>
      </c>
      <c r="I665" t="s">
        <v>1428</v>
      </c>
      <c r="J665" t="s">
        <v>770</v>
      </c>
      <c r="K665" t="s">
        <v>55</v>
      </c>
      <c r="L665" t="s">
        <v>55</v>
      </c>
      <c r="M665" t="s">
        <v>1612</v>
      </c>
    </row>
    <row r="666" spans="1:13" ht="15" customHeight="1" x14ac:dyDescent="0.25">
      <c r="A666" t="s">
        <v>1833</v>
      </c>
      <c r="B666" t="s">
        <v>327</v>
      </c>
      <c r="C666">
        <v>543592</v>
      </c>
      <c r="D666" t="s">
        <v>1492</v>
      </c>
      <c r="E666" t="s">
        <v>1496</v>
      </c>
      <c r="F666" t="s">
        <v>1497</v>
      </c>
      <c r="G666" t="s">
        <v>1498</v>
      </c>
      <c r="H666" t="s">
        <v>1199</v>
      </c>
      <c r="I666" t="s">
        <v>1428</v>
      </c>
      <c r="J666" t="s">
        <v>637</v>
      </c>
      <c r="K666" t="s">
        <v>55</v>
      </c>
      <c r="L666" t="s">
        <v>55</v>
      </c>
      <c r="M666" t="s">
        <v>1453</v>
      </c>
    </row>
    <row r="667" spans="1:13" ht="15" customHeight="1" x14ac:dyDescent="0.25">
      <c r="A667" t="s">
        <v>1833</v>
      </c>
      <c r="B667" t="s">
        <v>327</v>
      </c>
      <c r="C667">
        <v>543593</v>
      </c>
      <c r="D667" t="s">
        <v>1492</v>
      </c>
      <c r="E667" t="s">
        <v>1493</v>
      </c>
      <c r="F667" t="s">
        <v>1494</v>
      </c>
      <c r="G667" t="s">
        <v>1495</v>
      </c>
      <c r="H667" t="s">
        <v>1199</v>
      </c>
      <c r="I667" t="s">
        <v>1428</v>
      </c>
      <c r="J667" t="s">
        <v>615</v>
      </c>
      <c r="K667" t="s">
        <v>55</v>
      </c>
      <c r="L667" t="s">
        <v>55</v>
      </c>
      <c r="M667" t="s">
        <v>1459</v>
      </c>
    </row>
    <row r="668" spans="1:13" ht="15" customHeight="1" x14ac:dyDescent="0.25">
      <c r="A668" t="s">
        <v>1833</v>
      </c>
      <c r="B668" t="s">
        <v>327</v>
      </c>
      <c r="C668">
        <v>544128</v>
      </c>
      <c r="D668" t="s">
        <v>1499</v>
      </c>
      <c r="E668" t="s">
        <v>1500</v>
      </c>
      <c r="F668" t="s">
        <v>1501</v>
      </c>
      <c r="G668" t="s">
        <v>1502</v>
      </c>
      <c r="H668" t="s">
        <v>1050</v>
      </c>
      <c r="I668" t="s">
        <v>1428</v>
      </c>
      <c r="J668" t="s">
        <v>1075</v>
      </c>
      <c r="K668" t="s">
        <v>55</v>
      </c>
      <c r="L668" t="s">
        <v>55</v>
      </c>
      <c r="M668" t="s">
        <v>1503</v>
      </c>
    </row>
    <row r="669" spans="1:13" ht="15" customHeight="1" x14ac:dyDescent="0.25">
      <c r="A669" t="s">
        <v>1833</v>
      </c>
      <c r="B669" t="s">
        <v>327</v>
      </c>
      <c r="C669">
        <v>543500</v>
      </c>
      <c r="D669" t="s">
        <v>1504</v>
      </c>
      <c r="E669" t="s">
        <v>1505</v>
      </c>
      <c r="F669" t="s">
        <v>1506</v>
      </c>
      <c r="G669" t="s">
        <v>1507</v>
      </c>
      <c r="H669" t="s">
        <v>1508</v>
      </c>
      <c r="I669" t="s">
        <v>1428</v>
      </c>
      <c r="J669" t="s">
        <v>615</v>
      </c>
      <c r="K669" t="s">
        <v>55</v>
      </c>
      <c r="L669" t="s">
        <v>55</v>
      </c>
      <c r="M669" t="s">
        <v>1509</v>
      </c>
    </row>
    <row r="670" spans="1:13" ht="15" customHeight="1" x14ac:dyDescent="0.25">
      <c r="A670" t="s">
        <v>1833</v>
      </c>
      <c r="B670" t="s">
        <v>327</v>
      </c>
      <c r="C670">
        <v>543668</v>
      </c>
      <c r="D670" t="s">
        <v>1510</v>
      </c>
      <c r="E670" t="s">
        <v>1511</v>
      </c>
      <c r="F670" t="s">
        <v>1512</v>
      </c>
      <c r="G670" t="s">
        <v>1513</v>
      </c>
      <c r="H670" t="s">
        <v>803</v>
      </c>
      <c r="I670" t="s">
        <v>1428</v>
      </c>
      <c r="J670" t="s">
        <v>615</v>
      </c>
      <c r="K670" t="s">
        <v>55</v>
      </c>
      <c r="L670" t="s">
        <v>55</v>
      </c>
      <c r="M670" t="s">
        <v>1470</v>
      </c>
    </row>
    <row r="671" spans="1:13" ht="15" customHeight="1" x14ac:dyDescent="0.25">
      <c r="A671" t="s">
        <v>1833</v>
      </c>
      <c r="B671" t="s">
        <v>327</v>
      </c>
      <c r="C671">
        <v>543596</v>
      </c>
      <c r="D671" t="s">
        <v>1514</v>
      </c>
      <c r="E671" t="s">
        <v>1515</v>
      </c>
      <c r="F671" t="s">
        <v>1516</v>
      </c>
      <c r="G671" t="s">
        <v>1517</v>
      </c>
      <c r="H671" t="s">
        <v>1464</v>
      </c>
      <c r="I671" t="s">
        <v>1428</v>
      </c>
      <c r="J671" t="s">
        <v>615</v>
      </c>
      <c r="K671" t="s">
        <v>55</v>
      </c>
      <c r="L671" t="s">
        <v>55</v>
      </c>
      <c r="M671" t="s">
        <v>1518</v>
      </c>
    </row>
    <row r="672" spans="1:13" ht="15" customHeight="1" x14ac:dyDescent="0.25">
      <c r="A672" t="s">
        <v>1833</v>
      </c>
      <c r="B672" t="s">
        <v>327</v>
      </c>
      <c r="C672">
        <v>543670</v>
      </c>
      <c r="D672" t="s">
        <v>1519</v>
      </c>
      <c r="E672" t="s">
        <v>1520</v>
      </c>
      <c r="F672" t="s">
        <v>1521</v>
      </c>
      <c r="G672" t="s">
        <v>1522</v>
      </c>
      <c r="H672" t="s">
        <v>999</v>
      </c>
      <c r="I672" t="s">
        <v>1428</v>
      </c>
      <c r="J672" t="s">
        <v>1523</v>
      </c>
      <c r="K672" t="s">
        <v>55</v>
      </c>
      <c r="L672" t="s">
        <v>55</v>
      </c>
      <c r="M672" t="s">
        <v>1827</v>
      </c>
    </row>
    <row r="673" spans="1:13" ht="15" customHeight="1" x14ac:dyDescent="0.25">
      <c r="A673" t="s">
        <v>1833</v>
      </c>
      <c r="B673" t="s">
        <v>327</v>
      </c>
      <c r="C673">
        <v>543511</v>
      </c>
      <c r="D673" t="s">
        <v>1525</v>
      </c>
      <c r="E673" t="s">
        <v>800</v>
      </c>
      <c r="F673" t="s">
        <v>1526</v>
      </c>
      <c r="G673" t="s">
        <v>1527</v>
      </c>
      <c r="H673" t="s">
        <v>1008</v>
      </c>
      <c r="I673" t="s">
        <v>1428</v>
      </c>
      <c r="J673" t="s">
        <v>615</v>
      </c>
      <c r="K673" t="s">
        <v>55</v>
      </c>
      <c r="L673" t="s">
        <v>55</v>
      </c>
      <c r="M673" t="s">
        <v>1454</v>
      </c>
    </row>
    <row r="674" spans="1:13" ht="15" customHeight="1" x14ac:dyDescent="0.25">
      <c r="A674" t="s">
        <v>1833</v>
      </c>
      <c r="B674" t="s">
        <v>327</v>
      </c>
      <c r="C674">
        <v>543597</v>
      </c>
      <c r="D674" t="s">
        <v>1528</v>
      </c>
      <c r="E674" t="s">
        <v>1529</v>
      </c>
      <c r="F674" t="s">
        <v>1530</v>
      </c>
      <c r="G674" t="s">
        <v>1531</v>
      </c>
      <c r="H674" t="s">
        <v>999</v>
      </c>
      <c r="I674" t="s">
        <v>1428</v>
      </c>
      <c r="J674" t="s">
        <v>609</v>
      </c>
      <c r="K674" t="s">
        <v>55</v>
      </c>
      <c r="L674" t="s">
        <v>55</v>
      </c>
      <c r="M674" t="s">
        <v>1509</v>
      </c>
    </row>
    <row r="675" spans="1:13" ht="15" customHeight="1" x14ac:dyDescent="0.25">
      <c r="A675" t="s">
        <v>1833</v>
      </c>
      <c r="B675" t="s">
        <v>327</v>
      </c>
      <c r="C675">
        <v>543669</v>
      </c>
      <c r="D675" t="s">
        <v>1532</v>
      </c>
      <c r="E675" t="s">
        <v>1533</v>
      </c>
      <c r="F675" t="s">
        <v>1534</v>
      </c>
      <c r="G675" t="s">
        <v>1535</v>
      </c>
      <c r="H675" t="s">
        <v>1481</v>
      </c>
      <c r="I675" t="s">
        <v>1428</v>
      </c>
      <c r="J675" t="s">
        <v>631</v>
      </c>
      <c r="K675" t="s">
        <v>55</v>
      </c>
      <c r="L675" t="s">
        <v>55</v>
      </c>
      <c r="M675" t="s">
        <v>1536</v>
      </c>
    </row>
    <row r="676" spans="1:13" ht="15" customHeight="1" x14ac:dyDescent="0.25">
      <c r="A676" t="s">
        <v>1833</v>
      </c>
      <c r="B676" t="s">
        <v>327</v>
      </c>
      <c r="C676">
        <v>543591</v>
      </c>
      <c r="D676" t="s">
        <v>1537</v>
      </c>
      <c r="E676" t="s">
        <v>1538</v>
      </c>
      <c r="F676" t="s">
        <v>1539</v>
      </c>
      <c r="G676" t="s">
        <v>1540</v>
      </c>
      <c r="H676" t="s">
        <v>999</v>
      </c>
      <c r="I676" t="s">
        <v>1428</v>
      </c>
      <c r="J676" t="s">
        <v>1541</v>
      </c>
      <c r="K676" t="s">
        <v>55</v>
      </c>
      <c r="L676" t="s">
        <v>55</v>
      </c>
      <c r="M676" t="s">
        <v>1448</v>
      </c>
    </row>
    <row r="677" spans="1:13" ht="15" customHeight="1" x14ac:dyDescent="0.25">
      <c r="A677" t="s">
        <v>1833</v>
      </c>
      <c r="B677" t="s">
        <v>327</v>
      </c>
      <c r="C677">
        <v>543600</v>
      </c>
      <c r="D677" t="s">
        <v>1543</v>
      </c>
      <c r="E677" t="s">
        <v>1548</v>
      </c>
      <c r="F677" t="s">
        <v>1549</v>
      </c>
      <c r="G677" t="s">
        <v>1550</v>
      </c>
      <c r="H677" t="s">
        <v>999</v>
      </c>
      <c r="I677" t="s">
        <v>1428</v>
      </c>
      <c r="J677" t="s">
        <v>1551</v>
      </c>
      <c r="K677" t="s">
        <v>55</v>
      </c>
      <c r="L677" t="s">
        <v>55</v>
      </c>
      <c r="M677" t="s">
        <v>1552</v>
      </c>
    </row>
    <row r="678" spans="1:13" ht="15" customHeight="1" x14ac:dyDescent="0.25">
      <c r="A678" t="s">
        <v>1833</v>
      </c>
      <c r="B678" t="s">
        <v>327</v>
      </c>
      <c r="C678">
        <v>543608</v>
      </c>
      <c r="D678" t="s">
        <v>1543</v>
      </c>
      <c r="E678" t="s">
        <v>1544</v>
      </c>
      <c r="F678" t="s">
        <v>1545</v>
      </c>
      <c r="G678" t="s">
        <v>1546</v>
      </c>
      <c r="H678" t="s">
        <v>999</v>
      </c>
      <c r="I678" t="s">
        <v>1428</v>
      </c>
      <c r="J678" t="s">
        <v>927</v>
      </c>
      <c r="K678" t="s">
        <v>55</v>
      </c>
      <c r="L678" t="s">
        <v>55</v>
      </c>
      <c r="M678" t="s">
        <v>1547</v>
      </c>
    </row>
    <row r="679" spans="1:13" ht="15" customHeight="1" x14ac:dyDescent="0.25">
      <c r="A679" t="s">
        <v>1833</v>
      </c>
      <c r="B679" t="s">
        <v>327</v>
      </c>
      <c r="C679">
        <v>543513</v>
      </c>
      <c r="D679" t="s">
        <v>1046</v>
      </c>
      <c r="E679" t="s">
        <v>1047</v>
      </c>
      <c r="F679" t="s">
        <v>1048</v>
      </c>
      <c r="G679" t="s">
        <v>1049</v>
      </c>
      <c r="H679" t="s">
        <v>1050</v>
      </c>
      <c r="I679" t="s">
        <v>1428</v>
      </c>
      <c r="J679" t="s">
        <v>1051</v>
      </c>
      <c r="K679" t="s">
        <v>55</v>
      </c>
      <c r="L679" t="s">
        <v>55</v>
      </c>
      <c r="M679" t="s">
        <v>1828</v>
      </c>
    </row>
    <row r="680" spans="1:13" ht="15" customHeight="1" x14ac:dyDescent="0.25">
      <c r="A680" t="s">
        <v>1833</v>
      </c>
      <c r="B680" t="s">
        <v>327</v>
      </c>
      <c r="C680">
        <v>544088</v>
      </c>
      <c r="D680" t="s">
        <v>1554</v>
      </c>
      <c r="E680" t="s">
        <v>1555</v>
      </c>
      <c r="F680" t="s">
        <v>1556</v>
      </c>
      <c r="G680" t="s">
        <v>1557</v>
      </c>
      <c r="H680" t="s">
        <v>1481</v>
      </c>
      <c r="I680" t="s">
        <v>1428</v>
      </c>
      <c r="J680" t="s">
        <v>620</v>
      </c>
      <c r="K680" t="s">
        <v>55</v>
      </c>
      <c r="L680" t="s">
        <v>55</v>
      </c>
      <c r="M680" t="s">
        <v>1558</v>
      </c>
    </row>
    <row r="681" spans="1:13" ht="15" customHeight="1" x14ac:dyDescent="0.25">
      <c r="A681" t="s">
        <v>1833</v>
      </c>
      <c r="B681" t="s">
        <v>327</v>
      </c>
      <c r="C681">
        <v>544093</v>
      </c>
      <c r="D681" t="s">
        <v>1559</v>
      </c>
      <c r="E681" t="s">
        <v>1560</v>
      </c>
      <c r="F681" t="s">
        <v>1561</v>
      </c>
      <c r="G681" t="s">
        <v>1562</v>
      </c>
      <c r="H681" t="s">
        <v>999</v>
      </c>
      <c r="I681" t="s">
        <v>1428</v>
      </c>
      <c r="J681" t="s">
        <v>637</v>
      </c>
      <c r="K681" t="s">
        <v>55</v>
      </c>
      <c r="L681" t="s">
        <v>55</v>
      </c>
      <c r="M681" t="s">
        <v>1563</v>
      </c>
    </row>
    <row r="682" spans="1:13" ht="15" customHeight="1" x14ac:dyDescent="0.25">
      <c r="A682" t="s">
        <v>1833</v>
      </c>
      <c r="B682" t="s">
        <v>327</v>
      </c>
      <c r="C682">
        <v>544092</v>
      </c>
      <c r="D682" t="s">
        <v>1564</v>
      </c>
      <c r="E682" t="s">
        <v>1565</v>
      </c>
      <c r="F682" t="s">
        <v>1566</v>
      </c>
      <c r="G682" t="s">
        <v>1567</v>
      </c>
      <c r="H682" t="s">
        <v>999</v>
      </c>
      <c r="I682" t="s">
        <v>1428</v>
      </c>
      <c r="J682" t="s">
        <v>1568</v>
      </c>
      <c r="K682" t="s">
        <v>55</v>
      </c>
      <c r="L682" t="s">
        <v>55</v>
      </c>
      <c r="M682" t="s">
        <v>1569</v>
      </c>
    </row>
    <row r="683" spans="1:13" ht="15" customHeight="1" x14ac:dyDescent="0.25">
      <c r="A683" t="s">
        <v>1833</v>
      </c>
      <c r="B683" t="s">
        <v>327</v>
      </c>
      <c r="C683">
        <v>543811</v>
      </c>
      <c r="D683" t="s">
        <v>1570</v>
      </c>
      <c r="E683" t="s">
        <v>1571</v>
      </c>
      <c r="F683" t="s">
        <v>1572</v>
      </c>
      <c r="G683" t="s">
        <v>1573</v>
      </c>
      <c r="H683" t="s">
        <v>1464</v>
      </c>
      <c r="I683" t="s">
        <v>1428</v>
      </c>
      <c r="J683" t="s">
        <v>615</v>
      </c>
      <c r="K683" t="s">
        <v>55</v>
      </c>
      <c r="L683" t="s">
        <v>55</v>
      </c>
      <c r="M683" t="s">
        <v>1454</v>
      </c>
    </row>
    <row r="684" spans="1:13" ht="15" customHeight="1" x14ac:dyDescent="0.25">
      <c r="A684" t="s">
        <v>1833</v>
      </c>
      <c r="B684" t="s">
        <v>327</v>
      </c>
      <c r="C684">
        <v>544109</v>
      </c>
      <c r="D684" t="s">
        <v>1829</v>
      </c>
      <c r="E684" t="s">
        <v>891</v>
      </c>
      <c r="F684" t="s">
        <v>892</v>
      </c>
      <c r="G684" t="s">
        <v>893</v>
      </c>
      <c r="H684" t="s">
        <v>1830</v>
      </c>
      <c r="I684" t="s">
        <v>1428</v>
      </c>
      <c r="J684" t="s">
        <v>660</v>
      </c>
      <c r="K684" t="s">
        <v>55</v>
      </c>
      <c r="L684" t="s">
        <v>55</v>
      </c>
      <c r="M684" t="s">
        <v>1476</v>
      </c>
    </row>
    <row r="685" spans="1:13" ht="15" customHeight="1" x14ac:dyDescent="0.25">
      <c r="A685" t="s">
        <v>1833</v>
      </c>
      <c r="B685" t="s">
        <v>327</v>
      </c>
      <c r="C685">
        <v>543712</v>
      </c>
      <c r="D685" t="s">
        <v>1574</v>
      </c>
      <c r="E685" t="s">
        <v>1575</v>
      </c>
      <c r="F685" t="s">
        <v>1576</v>
      </c>
      <c r="G685" t="s">
        <v>1577</v>
      </c>
      <c r="H685" t="s">
        <v>1199</v>
      </c>
      <c r="I685" t="s">
        <v>1428</v>
      </c>
      <c r="J685" t="s">
        <v>631</v>
      </c>
      <c r="K685" t="s">
        <v>55</v>
      </c>
      <c r="L685" t="s">
        <v>55</v>
      </c>
      <c r="M685" t="s">
        <v>1429</v>
      </c>
    </row>
    <row r="686" spans="1:13" ht="15" customHeight="1" x14ac:dyDescent="0.25">
      <c r="A686" t="s">
        <v>1833</v>
      </c>
      <c r="B686" t="s">
        <v>327</v>
      </c>
      <c r="C686">
        <v>543658</v>
      </c>
      <c r="D686" t="s">
        <v>1578</v>
      </c>
      <c r="E686" t="s">
        <v>891</v>
      </c>
      <c r="F686" t="s">
        <v>1579</v>
      </c>
      <c r="G686" t="s">
        <v>1580</v>
      </c>
      <c r="H686" t="s">
        <v>1008</v>
      </c>
      <c r="I686" t="s">
        <v>1428</v>
      </c>
      <c r="J686" t="s">
        <v>715</v>
      </c>
      <c r="K686" t="s">
        <v>55</v>
      </c>
      <c r="L686" t="s">
        <v>55</v>
      </c>
      <c r="M686" t="s">
        <v>1831</v>
      </c>
    </row>
    <row r="687" spans="1:13" ht="15" customHeight="1" x14ac:dyDescent="0.25">
      <c r="A687" t="s">
        <v>1833</v>
      </c>
      <c r="B687" t="s">
        <v>327</v>
      </c>
      <c r="C687">
        <v>543657</v>
      </c>
      <c r="D687" t="s">
        <v>1582</v>
      </c>
      <c r="E687" t="s">
        <v>1583</v>
      </c>
      <c r="F687" t="s">
        <v>1584</v>
      </c>
      <c r="G687" t="s">
        <v>1585</v>
      </c>
      <c r="H687" t="s">
        <v>911</v>
      </c>
      <c r="I687" t="s">
        <v>1428</v>
      </c>
      <c r="J687" t="s">
        <v>631</v>
      </c>
      <c r="K687" t="s">
        <v>55</v>
      </c>
      <c r="L687" t="s">
        <v>55</v>
      </c>
      <c r="M687" t="s">
        <v>1586</v>
      </c>
    </row>
    <row r="688" spans="1:13" ht="15" customHeight="1" x14ac:dyDescent="0.25">
      <c r="A688" t="s">
        <v>1833</v>
      </c>
      <c r="B688" t="s">
        <v>327</v>
      </c>
      <c r="C688">
        <v>543656</v>
      </c>
      <c r="D688" t="s">
        <v>1587</v>
      </c>
      <c r="E688" t="s">
        <v>1588</v>
      </c>
      <c r="F688" t="s">
        <v>1589</v>
      </c>
      <c r="G688" t="s">
        <v>1590</v>
      </c>
      <c r="H688" t="s">
        <v>911</v>
      </c>
      <c r="I688" t="s">
        <v>1428</v>
      </c>
      <c r="J688" t="s">
        <v>631</v>
      </c>
      <c r="K688" t="s">
        <v>55</v>
      </c>
      <c r="L688" t="s">
        <v>55</v>
      </c>
      <c r="M688" t="s">
        <v>1586</v>
      </c>
    </row>
    <row r="689" spans="1:13" ht="15" customHeight="1" x14ac:dyDescent="0.25">
      <c r="A689" t="s">
        <v>1833</v>
      </c>
      <c r="B689" t="s">
        <v>327</v>
      </c>
      <c r="C689">
        <v>543514</v>
      </c>
      <c r="D689" t="s">
        <v>1162</v>
      </c>
      <c r="E689" t="s">
        <v>1163</v>
      </c>
      <c r="F689" t="s">
        <v>1164</v>
      </c>
      <c r="G689" t="s">
        <v>1165</v>
      </c>
      <c r="H689" t="s">
        <v>999</v>
      </c>
      <c r="I689" t="s">
        <v>1428</v>
      </c>
      <c r="J689" t="s">
        <v>596</v>
      </c>
      <c r="K689" t="s">
        <v>55</v>
      </c>
      <c r="L689" t="s">
        <v>55</v>
      </c>
      <c r="M689" t="s">
        <v>1459</v>
      </c>
    </row>
    <row r="690" spans="1:13" ht="15" customHeight="1" x14ac:dyDescent="0.25">
      <c r="A690" t="s">
        <v>1833</v>
      </c>
      <c r="B690" t="s">
        <v>327</v>
      </c>
      <c r="C690">
        <v>543661</v>
      </c>
      <c r="D690" t="s">
        <v>1592</v>
      </c>
      <c r="E690" t="s">
        <v>1593</v>
      </c>
      <c r="F690" t="s">
        <v>1594</v>
      </c>
      <c r="G690" t="s">
        <v>1595</v>
      </c>
      <c r="H690" t="s">
        <v>1596</v>
      </c>
      <c r="I690" t="s">
        <v>1428</v>
      </c>
      <c r="J690" t="s">
        <v>603</v>
      </c>
      <c r="K690" t="s">
        <v>55</v>
      </c>
      <c r="L690" t="s">
        <v>55</v>
      </c>
      <c r="M690" t="s">
        <v>1597</v>
      </c>
    </row>
    <row r="691" spans="1:13" ht="15" customHeight="1" x14ac:dyDescent="0.25">
      <c r="A691" t="s">
        <v>1833</v>
      </c>
      <c r="B691" t="s">
        <v>327</v>
      </c>
      <c r="C691">
        <v>543501</v>
      </c>
      <c r="D691" t="s">
        <v>1598</v>
      </c>
      <c r="E691" t="s">
        <v>1599</v>
      </c>
      <c r="F691" t="s">
        <v>1600</v>
      </c>
      <c r="G691" t="s">
        <v>1601</v>
      </c>
      <c r="H691" t="s">
        <v>999</v>
      </c>
      <c r="I691" t="s">
        <v>1428</v>
      </c>
      <c r="J691" t="s">
        <v>615</v>
      </c>
      <c r="K691" t="s">
        <v>55</v>
      </c>
      <c r="L691" t="s">
        <v>55</v>
      </c>
      <c r="M691" t="s">
        <v>1465</v>
      </c>
    </row>
    <row r="692" spans="1:13" ht="15" customHeight="1" x14ac:dyDescent="0.25">
      <c r="A692" t="s">
        <v>1833</v>
      </c>
      <c r="B692" t="s">
        <v>327</v>
      </c>
      <c r="C692">
        <v>543594</v>
      </c>
      <c r="D692" t="s">
        <v>1603</v>
      </c>
      <c r="E692" t="s">
        <v>1604</v>
      </c>
      <c r="F692" t="s">
        <v>1605</v>
      </c>
      <c r="G692" t="s">
        <v>1606</v>
      </c>
      <c r="H692" t="s">
        <v>1377</v>
      </c>
      <c r="I692" t="s">
        <v>1428</v>
      </c>
      <c r="J692" t="s">
        <v>631</v>
      </c>
      <c r="K692" t="s">
        <v>55</v>
      </c>
      <c r="L692" t="s">
        <v>55</v>
      </c>
      <c r="M692" t="s">
        <v>1607</v>
      </c>
    </row>
    <row r="693" spans="1:13" ht="15" customHeight="1" x14ac:dyDescent="0.25">
      <c r="A693" t="s">
        <v>1833</v>
      </c>
      <c r="B693" t="s">
        <v>327</v>
      </c>
      <c r="C693">
        <v>544095</v>
      </c>
      <c r="D693" t="s">
        <v>1608</v>
      </c>
      <c r="E693" t="s">
        <v>1609</v>
      </c>
      <c r="F693" t="s">
        <v>1610</v>
      </c>
      <c r="G693" t="s">
        <v>1611</v>
      </c>
      <c r="H693" t="s">
        <v>999</v>
      </c>
      <c r="I693" t="s">
        <v>1428</v>
      </c>
      <c r="J693" t="s">
        <v>751</v>
      </c>
      <c r="K693" t="s">
        <v>55</v>
      </c>
      <c r="L693" t="s">
        <v>55</v>
      </c>
      <c r="M693" t="s">
        <v>1612</v>
      </c>
    </row>
    <row r="694" spans="1:13" ht="15" customHeight="1" x14ac:dyDescent="0.25">
      <c r="A694" t="s">
        <v>1833</v>
      </c>
      <c r="B694" t="s">
        <v>327</v>
      </c>
      <c r="C694">
        <v>543504</v>
      </c>
      <c r="D694" t="s">
        <v>1613</v>
      </c>
      <c r="E694" t="s">
        <v>1614</v>
      </c>
      <c r="F694" t="s">
        <v>1615</v>
      </c>
      <c r="G694" t="s">
        <v>1616</v>
      </c>
      <c r="H694" t="s">
        <v>1199</v>
      </c>
      <c r="I694" t="s">
        <v>1428</v>
      </c>
      <c r="J694" t="s">
        <v>620</v>
      </c>
      <c r="K694" t="s">
        <v>55</v>
      </c>
      <c r="L694" t="s">
        <v>55</v>
      </c>
      <c r="M694" t="s">
        <v>1617</v>
      </c>
    </row>
    <row r="695" spans="1:13" ht="15" customHeight="1" x14ac:dyDescent="0.25">
      <c r="A695" t="s">
        <v>1833</v>
      </c>
      <c r="B695" t="s">
        <v>327</v>
      </c>
      <c r="C695">
        <v>543508</v>
      </c>
      <c r="D695" t="s">
        <v>1409</v>
      </c>
      <c r="E695" t="s">
        <v>1618</v>
      </c>
      <c r="F695" t="s">
        <v>1619</v>
      </c>
      <c r="G695" t="s">
        <v>1620</v>
      </c>
      <c r="H695" t="s">
        <v>1199</v>
      </c>
      <c r="I695" t="s">
        <v>1428</v>
      </c>
      <c r="J695" t="s">
        <v>1621</v>
      </c>
      <c r="K695" t="s">
        <v>55</v>
      </c>
      <c r="L695" t="s">
        <v>55</v>
      </c>
      <c r="M695" t="s">
        <v>1622</v>
      </c>
    </row>
    <row r="696" spans="1:13" ht="15" customHeight="1" x14ac:dyDescent="0.25">
      <c r="A696" t="s">
        <v>1833</v>
      </c>
      <c r="B696" t="s">
        <v>327</v>
      </c>
      <c r="C696">
        <v>543505</v>
      </c>
      <c r="D696" t="s">
        <v>1623</v>
      </c>
      <c r="E696" t="s">
        <v>1624</v>
      </c>
      <c r="F696" t="s">
        <v>1625</v>
      </c>
      <c r="G696" t="s">
        <v>1626</v>
      </c>
      <c r="H696" t="s">
        <v>1475</v>
      </c>
      <c r="I696" t="s">
        <v>1428</v>
      </c>
      <c r="J696" t="s">
        <v>620</v>
      </c>
      <c r="K696" t="s">
        <v>55</v>
      </c>
      <c r="L696" t="s">
        <v>55</v>
      </c>
      <c r="M696" t="s">
        <v>1547</v>
      </c>
    </row>
    <row r="697" spans="1:13" ht="15" customHeight="1" x14ac:dyDescent="0.25">
      <c r="A697" t="s">
        <v>1833</v>
      </c>
      <c r="B697" t="s">
        <v>327</v>
      </c>
      <c r="C697">
        <v>543510</v>
      </c>
      <c r="D697" t="s">
        <v>1623</v>
      </c>
      <c r="E697" t="s">
        <v>1627</v>
      </c>
      <c r="F697" t="s">
        <v>1628</v>
      </c>
      <c r="G697" t="s">
        <v>1629</v>
      </c>
      <c r="H697" t="s">
        <v>1475</v>
      </c>
      <c r="I697" t="s">
        <v>1428</v>
      </c>
      <c r="J697" t="s">
        <v>620</v>
      </c>
      <c r="K697" t="s">
        <v>55</v>
      </c>
      <c r="L697" t="s">
        <v>55</v>
      </c>
      <c r="M697" t="s">
        <v>1617</v>
      </c>
    </row>
    <row r="698" spans="1:13" ht="15" customHeight="1" x14ac:dyDescent="0.25">
      <c r="A698" t="s">
        <v>1833</v>
      </c>
      <c r="B698" t="s">
        <v>327</v>
      </c>
      <c r="C698">
        <v>543660</v>
      </c>
      <c r="D698" t="s">
        <v>1630</v>
      </c>
      <c r="E698" t="s">
        <v>1631</v>
      </c>
      <c r="F698" t="s">
        <v>1632</v>
      </c>
      <c r="G698" t="s">
        <v>1633</v>
      </c>
      <c r="H698" t="s">
        <v>1199</v>
      </c>
      <c r="I698" t="s">
        <v>1428</v>
      </c>
      <c r="J698" t="s">
        <v>620</v>
      </c>
      <c r="K698" t="s">
        <v>55</v>
      </c>
      <c r="L698" t="s">
        <v>55</v>
      </c>
      <c r="M698" t="s">
        <v>1634</v>
      </c>
    </row>
    <row r="699" spans="1:13" ht="15" customHeight="1" x14ac:dyDescent="0.25">
      <c r="A699" t="s">
        <v>1833</v>
      </c>
      <c r="B699" t="s">
        <v>327</v>
      </c>
      <c r="C699">
        <v>544094</v>
      </c>
      <c r="D699" t="s">
        <v>1635</v>
      </c>
      <c r="E699" t="s">
        <v>1636</v>
      </c>
      <c r="F699" t="s">
        <v>1637</v>
      </c>
      <c r="G699" t="s">
        <v>1638</v>
      </c>
      <c r="H699" t="s">
        <v>999</v>
      </c>
      <c r="I699" t="s">
        <v>1428</v>
      </c>
      <c r="J699" t="s">
        <v>631</v>
      </c>
      <c r="K699" t="s">
        <v>55</v>
      </c>
      <c r="L699" t="s">
        <v>55</v>
      </c>
      <c r="M699" t="s">
        <v>1429</v>
      </c>
    </row>
    <row r="700" spans="1:13" ht="15" customHeight="1" x14ac:dyDescent="0.25">
      <c r="A700" t="s">
        <v>1833</v>
      </c>
      <c r="B700" t="s">
        <v>327</v>
      </c>
      <c r="C700">
        <v>543515</v>
      </c>
      <c r="D700" t="s">
        <v>1288</v>
      </c>
      <c r="E700" t="s">
        <v>1289</v>
      </c>
      <c r="F700" t="s">
        <v>1290</v>
      </c>
      <c r="G700" t="s">
        <v>1291</v>
      </c>
      <c r="H700" t="s">
        <v>803</v>
      </c>
      <c r="I700" t="s">
        <v>1428</v>
      </c>
      <c r="J700" t="s">
        <v>927</v>
      </c>
      <c r="K700" t="s">
        <v>55</v>
      </c>
      <c r="L700" t="s">
        <v>55</v>
      </c>
      <c r="M700" t="s">
        <v>1640</v>
      </c>
    </row>
    <row r="701" spans="1:13" ht="15" customHeight="1" x14ac:dyDescent="0.25">
      <c r="A701" t="s">
        <v>1833</v>
      </c>
      <c r="B701" t="s">
        <v>327</v>
      </c>
      <c r="C701">
        <v>543516</v>
      </c>
      <c r="D701" t="s">
        <v>1641</v>
      </c>
      <c r="E701" t="s">
        <v>1642</v>
      </c>
      <c r="F701" t="s">
        <v>1643</v>
      </c>
      <c r="G701" t="s">
        <v>1644</v>
      </c>
      <c r="H701" t="s">
        <v>999</v>
      </c>
      <c r="I701" t="s">
        <v>1428</v>
      </c>
      <c r="J701" t="s">
        <v>1645</v>
      </c>
      <c r="K701" t="s">
        <v>55</v>
      </c>
      <c r="L701" t="s">
        <v>55</v>
      </c>
      <c r="M701" t="s">
        <v>1509</v>
      </c>
    </row>
    <row r="702" spans="1:13" ht="15" customHeight="1" x14ac:dyDescent="0.25">
      <c r="A702" t="s">
        <v>1834</v>
      </c>
      <c r="B702" t="s">
        <v>293</v>
      </c>
      <c r="C702">
        <v>544068</v>
      </c>
      <c r="D702" t="s">
        <v>1310</v>
      </c>
      <c r="E702" t="s">
        <v>1311</v>
      </c>
      <c r="F702" t="s">
        <v>1312</v>
      </c>
      <c r="G702" t="s">
        <v>1313</v>
      </c>
      <c r="H702" t="s">
        <v>1314</v>
      </c>
      <c r="I702" t="s">
        <v>1314</v>
      </c>
      <c r="J702" t="s">
        <v>770</v>
      </c>
      <c r="K702" t="s">
        <v>55</v>
      </c>
      <c r="L702" t="s">
        <v>55</v>
      </c>
      <c r="M702" t="s">
        <v>1315</v>
      </c>
    </row>
    <row r="703" spans="1:13" ht="15" customHeight="1" x14ac:dyDescent="0.25">
      <c r="A703" t="s">
        <v>1834</v>
      </c>
      <c r="B703" t="s">
        <v>293</v>
      </c>
      <c r="C703">
        <v>544115</v>
      </c>
      <c r="D703" t="s">
        <v>1835</v>
      </c>
      <c r="E703" t="s">
        <v>732</v>
      </c>
      <c r="F703" t="s">
        <v>1836</v>
      </c>
      <c r="G703" t="s">
        <v>1837</v>
      </c>
      <c r="H703" t="s">
        <v>1838</v>
      </c>
      <c r="I703" t="s">
        <v>1838</v>
      </c>
      <c r="J703" t="s">
        <v>1839</v>
      </c>
      <c r="K703" t="s">
        <v>55</v>
      </c>
      <c r="L703" t="s">
        <v>55</v>
      </c>
      <c r="M703" t="s">
        <v>1315</v>
      </c>
    </row>
    <row r="704" spans="1:13" ht="15" customHeight="1" x14ac:dyDescent="0.25">
      <c r="A704" t="s">
        <v>1834</v>
      </c>
      <c r="B704" t="s">
        <v>293</v>
      </c>
      <c r="C704">
        <v>544072</v>
      </c>
      <c r="D704" t="s">
        <v>1840</v>
      </c>
      <c r="E704" t="s">
        <v>1841</v>
      </c>
      <c r="F704" t="s">
        <v>1842</v>
      </c>
      <c r="G704" t="s">
        <v>1843</v>
      </c>
      <c r="H704" t="s">
        <v>1319</v>
      </c>
      <c r="I704" t="s">
        <v>1319</v>
      </c>
      <c r="J704" t="s">
        <v>1844</v>
      </c>
      <c r="K704" t="s">
        <v>55</v>
      </c>
      <c r="L704" t="s">
        <v>55</v>
      </c>
      <c r="M704" t="s">
        <v>1845</v>
      </c>
    </row>
    <row r="705" spans="1:13" ht="15" customHeight="1" x14ac:dyDescent="0.25">
      <c r="A705" t="s">
        <v>1834</v>
      </c>
      <c r="B705" t="s">
        <v>293</v>
      </c>
      <c r="C705">
        <v>544048</v>
      </c>
      <c r="D705" t="s">
        <v>1316</v>
      </c>
      <c r="E705" t="s">
        <v>1149</v>
      </c>
      <c r="F705" t="s">
        <v>1317</v>
      </c>
      <c r="G705" t="s">
        <v>1318</v>
      </c>
      <c r="H705" t="s">
        <v>1319</v>
      </c>
      <c r="I705" t="s">
        <v>1319</v>
      </c>
      <c r="J705" t="s">
        <v>1320</v>
      </c>
      <c r="K705" t="s">
        <v>55</v>
      </c>
      <c r="L705" t="s">
        <v>55</v>
      </c>
      <c r="M705" t="s">
        <v>1315</v>
      </c>
    </row>
    <row r="706" spans="1:13" ht="15" customHeight="1" x14ac:dyDescent="0.25">
      <c r="A706" t="s">
        <v>1846</v>
      </c>
      <c r="B706" t="s">
        <v>327</v>
      </c>
      <c r="C706">
        <v>544069</v>
      </c>
      <c r="D706" t="s">
        <v>1424</v>
      </c>
      <c r="E706" t="s">
        <v>1425</v>
      </c>
      <c r="F706" t="s">
        <v>1426</v>
      </c>
      <c r="G706" t="s">
        <v>1427</v>
      </c>
      <c r="H706" t="s">
        <v>1199</v>
      </c>
      <c r="I706" t="s">
        <v>1428</v>
      </c>
      <c r="J706" t="s">
        <v>770</v>
      </c>
      <c r="K706" t="s">
        <v>55</v>
      </c>
      <c r="L706" t="s">
        <v>55</v>
      </c>
      <c r="M706" t="s">
        <v>1429</v>
      </c>
    </row>
    <row r="707" spans="1:13" ht="15" customHeight="1" x14ac:dyDescent="0.25">
      <c r="A707" t="s">
        <v>1846</v>
      </c>
      <c r="B707" t="s">
        <v>327</v>
      </c>
      <c r="C707">
        <v>544090</v>
      </c>
      <c r="D707" t="s">
        <v>1430</v>
      </c>
      <c r="E707" t="s">
        <v>1431</v>
      </c>
      <c r="F707" t="s">
        <v>1432</v>
      </c>
      <c r="G707" t="s">
        <v>1433</v>
      </c>
      <c r="H707" t="s">
        <v>999</v>
      </c>
      <c r="I707" t="s">
        <v>1428</v>
      </c>
      <c r="J707" t="s">
        <v>1305</v>
      </c>
      <c r="K707" t="s">
        <v>55</v>
      </c>
      <c r="L707" t="s">
        <v>55</v>
      </c>
      <c r="M707" t="s">
        <v>1847</v>
      </c>
    </row>
    <row r="708" spans="1:13" ht="15" customHeight="1" x14ac:dyDescent="0.25">
      <c r="A708" t="s">
        <v>1846</v>
      </c>
      <c r="B708" t="s">
        <v>327</v>
      </c>
      <c r="C708">
        <v>543655</v>
      </c>
      <c r="D708" t="s">
        <v>1435</v>
      </c>
      <c r="E708" t="s">
        <v>1436</v>
      </c>
      <c r="F708" t="s">
        <v>1437</v>
      </c>
      <c r="G708" t="s">
        <v>1438</v>
      </c>
      <c r="H708" t="s">
        <v>1008</v>
      </c>
      <c r="I708" t="s">
        <v>1428</v>
      </c>
      <c r="J708" t="s">
        <v>809</v>
      </c>
      <c r="K708" t="s">
        <v>55</v>
      </c>
      <c r="L708" t="s">
        <v>55</v>
      </c>
      <c r="M708" t="s">
        <v>1848</v>
      </c>
    </row>
    <row r="709" spans="1:13" ht="15" customHeight="1" x14ac:dyDescent="0.25">
      <c r="A709" t="s">
        <v>1846</v>
      </c>
      <c r="B709" t="s">
        <v>327</v>
      </c>
      <c r="C709">
        <v>543710</v>
      </c>
      <c r="D709" t="s">
        <v>1440</v>
      </c>
      <c r="E709" t="s">
        <v>1441</v>
      </c>
      <c r="F709" t="s">
        <v>1442</v>
      </c>
      <c r="G709" t="s">
        <v>1443</v>
      </c>
      <c r="H709" t="s">
        <v>999</v>
      </c>
      <c r="I709" t="s">
        <v>1428</v>
      </c>
      <c r="J709" t="s">
        <v>609</v>
      </c>
      <c r="K709" t="s">
        <v>55</v>
      </c>
      <c r="L709" t="s">
        <v>55</v>
      </c>
      <c r="M709" t="s">
        <v>1569</v>
      </c>
    </row>
    <row r="710" spans="1:13" ht="15" customHeight="1" x14ac:dyDescent="0.25">
      <c r="A710" t="s">
        <v>1846</v>
      </c>
      <c r="B710" t="s">
        <v>327</v>
      </c>
      <c r="C710">
        <v>543503</v>
      </c>
      <c r="D710" t="s">
        <v>1445</v>
      </c>
      <c r="E710" t="s">
        <v>683</v>
      </c>
      <c r="F710" t="s">
        <v>1446</v>
      </c>
      <c r="G710" t="s">
        <v>1447</v>
      </c>
      <c r="H710" t="s">
        <v>999</v>
      </c>
      <c r="I710" t="s">
        <v>1428</v>
      </c>
      <c r="J710" t="s">
        <v>715</v>
      </c>
      <c r="K710" t="s">
        <v>55</v>
      </c>
      <c r="L710" t="s">
        <v>55</v>
      </c>
      <c r="M710" t="s">
        <v>1448</v>
      </c>
    </row>
    <row r="711" spans="1:13" ht="15" customHeight="1" x14ac:dyDescent="0.25">
      <c r="A711" t="s">
        <v>1846</v>
      </c>
      <c r="B711" t="s">
        <v>327</v>
      </c>
      <c r="C711">
        <v>543599</v>
      </c>
      <c r="D711" t="s">
        <v>1449</v>
      </c>
      <c r="E711" t="s">
        <v>1450</v>
      </c>
      <c r="F711" t="s">
        <v>1451</v>
      </c>
      <c r="G711" t="s">
        <v>1452</v>
      </c>
      <c r="H711" t="s">
        <v>999</v>
      </c>
      <c r="I711" t="s">
        <v>1428</v>
      </c>
      <c r="J711" t="s">
        <v>777</v>
      </c>
      <c r="K711" t="s">
        <v>55</v>
      </c>
      <c r="L711" t="s">
        <v>55</v>
      </c>
      <c r="M711" t="s">
        <v>1453</v>
      </c>
    </row>
    <row r="712" spans="1:13" ht="15" customHeight="1" x14ac:dyDescent="0.25">
      <c r="A712" t="s">
        <v>1846</v>
      </c>
      <c r="B712" t="s">
        <v>327</v>
      </c>
      <c r="C712">
        <v>543601</v>
      </c>
      <c r="D712" t="s">
        <v>1331</v>
      </c>
      <c r="E712" t="s">
        <v>1332</v>
      </c>
      <c r="F712" t="s">
        <v>1333</v>
      </c>
      <c r="G712" t="s">
        <v>1334</v>
      </c>
      <c r="H712" t="s">
        <v>1199</v>
      </c>
      <c r="I712" t="s">
        <v>1428</v>
      </c>
      <c r="J712" t="s">
        <v>1335</v>
      </c>
      <c r="K712" t="s">
        <v>55</v>
      </c>
      <c r="L712" t="s">
        <v>55</v>
      </c>
      <c r="M712" t="s">
        <v>1454</v>
      </c>
    </row>
    <row r="713" spans="1:13" ht="15" customHeight="1" x14ac:dyDescent="0.25">
      <c r="A713" t="s">
        <v>1846</v>
      </c>
      <c r="B713" t="s">
        <v>327</v>
      </c>
      <c r="C713">
        <v>543502</v>
      </c>
      <c r="D713" t="s">
        <v>1455</v>
      </c>
      <c r="E713" t="s">
        <v>60</v>
      </c>
      <c r="F713" t="s">
        <v>1456</v>
      </c>
      <c r="G713" t="s">
        <v>1457</v>
      </c>
      <c r="H713" t="s">
        <v>999</v>
      </c>
      <c r="I713" t="s">
        <v>1428</v>
      </c>
      <c r="J713" t="s">
        <v>1458</v>
      </c>
      <c r="K713" t="s">
        <v>55</v>
      </c>
      <c r="L713" t="s">
        <v>55</v>
      </c>
      <c r="M713" t="s">
        <v>1459</v>
      </c>
    </row>
    <row r="714" spans="1:13" ht="15" customHeight="1" x14ac:dyDescent="0.25">
      <c r="A714" t="s">
        <v>1846</v>
      </c>
      <c r="B714" t="s">
        <v>327</v>
      </c>
      <c r="C714">
        <v>543659</v>
      </c>
      <c r="D714" t="s">
        <v>1460</v>
      </c>
      <c r="E714" t="s">
        <v>1461</v>
      </c>
      <c r="F714" t="s">
        <v>1462</v>
      </c>
      <c r="G714" t="s">
        <v>1463</v>
      </c>
      <c r="H714" t="s">
        <v>1464</v>
      </c>
      <c r="I714" t="s">
        <v>1428</v>
      </c>
      <c r="J714" t="s">
        <v>660</v>
      </c>
      <c r="K714" t="s">
        <v>55</v>
      </c>
      <c r="L714" t="s">
        <v>55</v>
      </c>
      <c r="M714" t="s">
        <v>1602</v>
      </c>
    </row>
    <row r="715" spans="1:13" ht="15" customHeight="1" x14ac:dyDescent="0.25">
      <c r="A715" t="s">
        <v>1846</v>
      </c>
      <c r="B715" t="s">
        <v>327</v>
      </c>
      <c r="C715">
        <v>544091</v>
      </c>
      <c r="D715" t="s">
        <v>1466</v>
      </c>
      <c r="E715" t="s">
        <v>1467</v>
      </c>
      <c r="F715" t="s">
        <v>1468</v>
      </c>
      <c r="G715" t="s">
        <v>1469</v>
      </c>
      <c r="H715" t="s">
        <v>1464</v>
      </c>
      <c r="I715" t="s">
        <v>1428</v>
      </c>
      <c r="J715" t="s">
        <v>620</v>
      </c>
      <c r="K715" t="s">
        <v>55</v>
      </c>
      <c r="L715" t="s">
        <v>55</v>
      </c>
      <c r="M715" t="s">
        <v>1826</v>
      </c>
    </row>
    <row r="716" spans="1:13" ht="15" customHeight="1" x14ac:dyDescent="0.25">
      <c r="A716" t="s">
        <v>1846</v>
      </c>
      <c r="B716" t="s">
        <v>327</v>
      </c>
      <c r="C716">
        <v>543509</v>
      </c>
      <c r="D716" t="s">
        <v>1471</v>
      </c>
      <c r="E716" t="s">
        <v>1472</v>
      </c>
      <c r="F716" t="s">
        <v>1473</v>
      </c>
      <c r="G716" t="s">
        <v>1474</v>
      </c>
      <c r="H716" t="s">
        <v>1475</v>
      </c>
      <c r="I716" t="s">
        <v>1428</v>
      </c>
      <c r="J716" t="s">
        <v>1263</v>
      </c>
      <c r="K716" t="s">
        <v>55</v>
      </c>
      <c r="L716" t="s">
        <v>55</v>
      </c>
      <c r="M716" t="s">
        <v>1476</v>
      </c>
    </row>
    <row r="717" spans="1:13" ht="15" customHeight="1" x14ac:dyDescent="0.25">
      <c r="A717" t="s">
        <v>1846</v>
      </c>
      <c r="B717" t="s">
        <v>327</v>
      </c>
      <c r="C717">
        <v>543711</v>
      </c>
      <c r="D717" t="s">
        <v>1477</v>
      </c>
      <c r="E717" t="s">
        <v>1478</v>
      </c>
      <c r="F717" t="s">
        <v>1479</v>
      </c>
      <c r="G717" t="s">
        <v>1480</v>
      </c>
      <c r="H717" t="s">
        <v>1481</v>
      </c>
      <c r="I717" t="s">
        <v>1428</v>
      </c>
      <c r="J717" t="s">
        <v>631</v>
      </c>
      <c r="K717" t="s">
        <v>55</v>
      </c>
      <c r="L717" t="s">
        <v>55</v>
      </c>
      <c r="M717" t="s">
        <v>1482</v>
      </c>
    </row>
    <row r="718" spans="1:13" ht="15" customHeight="1" x14ac:dyDescent="0.25">
      <c r="A718" t="s">
        <v>1846</v>
      </c>
      <c r="B718" t="s">
        <v>327</v>
      </c>
      <c r="C718">
        <v>543499</v>
      </c>
      <c r="D718" t="s">
        <v>1483</v>
      </c>
      <c r="E718" t="s">
        <v>1484</v>
      </c>
      <c r="F718" t="s">
        <v>1485</v>
      </c>
      <c r="G718" t="s">
        <v>1486</v>
      </c>
      <c r="H718" t="s">
        <v>1464</v>
      </c>
      <c r="I718" t="s">
        <v>1428</v>
      </c>
      <c r="J718" t="s">
        <v>751</v>
      </c>
      <c r="K718" t="s">
        <v>55</v>
      </c>
      <c r="L718" t="s">
        <v>55</v>
      </c>
      <c r="M718" t="s">
        <v>1487</v>
      </c>
    </row>
    <row r="719" spans="1:13" ht="15" customHeight="1" x14ac:dyDescent="0.25">
      <c r="A719" t="s">
        <v>1846</v>
      </c>
      <c r="B719" t="s">
        <v>327</v>
      </c>
      <c r="C719">
        <v>543507</v>
      </c>
      <c r="D719" t="s">
        <v>1342</v>
      </c>
      <c r="E719" t="s">
        <v>1346</v>
      </c>
      <c r="F719" t="s">
        <v>1347</v>
      </c>
      <c r="G719" t="s">
        <v>1348</v>
      </c>
      <c r="H719" t="s">
        <v>1199</v>
      </c>
      <c r="I719" t="s">
        <v>1428</v>
      </c>
      <c r="J719" t="s">
        <v>1349</v>
      </c>
      <c r="K719" t="s">
        <v>55</v>
      </c>
      <c r="L719" t="s">
        <v>55</v>
      </c>
      <c r="M719" t="s">
        <v>1429</v>
      </c>
    </row>
    <row r="720" spans="1:13" ht="15" customHeight="1" x14ac:dyDescent="0.25">
      <c r="A720" t="s">
        <v>1846</v>
      </c>
      <c r="B720" t="s">
        <v>327</v>
      </c>
      <c r="C720">
        <v>543512</v>
      </c>
      <c r="D720" t="s">
        <v>1488</v>
      </c>
      <c r="E720" t="s">
        <v>1489</v>
      </c>
      <c r="F720" t="s">
        <v>1490</v>
      </c>
      <c r="G720" t="s">
        <v>1491</v>
      </c>
      <c r="H720" t="s">
        <v>757</v>
      </c>
      <c r="I720" t="s">
        <v>1428</v>
      </c>
      <c r="J720" t="s">
        <v>770</v>
      </c>
      <c r="K720" t="s">
        <v>55</v>
      </c>
      <c r="L720" t="s">
        <v>55</v>
      </c>
      <c r="M720" t="s">
        <v>1612</v>
      </c>
    </row>
    <row r="721" spans="1:13" ht="15" customHeight="1" x14ac:dyDescent="0.25">
      <c r="A721" t="s">
        <v>1846</v>
      </c>
      <c r="B721" t="s">
        <v>327</v>
      </c>
      <c r="C721">
        <v>543593</v>
      </c>
      <c r="D721" t="s">
        <v>1492</v>
      </c>
      <c r="E721" t="s">
        <v>1493</v>
      </c>
      <c r="F721" t="s">
        <v>1494</v>
      </c>
      <c r="G721" t="s">
        <v>1495</v>
      </c>
      <c r="H721" t="s">
        <v>1199</v>
      </c>
      <c r="I721" t="s">
        <v>1428</v>
      </c>
      <c r="J721" t="s">
        <v>615</v>
      </c>
      <c r="K721" t="s">
        <v>55</v>
      </c>
      <c r="L721" t="s">
        <v>55</v>
      </c>
      <c r="M721" t="s">
        <v>1591</v>
      </c>
    </row>
    <row r="722" spans="1:13" ht="15" customHeight="1" x14ac:dyDescent="0.25">
      <c r="A722" t="s">
        <v>1846</v>
      </c>
      <c r="B722" t="s">
        <v>327</v>
      </c>
      <c r="C722">
        <v>543592</v>
      </c>
      <c r="D722" t="s">
        <v>1492</v>
      </c>
      <c r="E722" t="s">
        <v>1496</v>
      </c>
      <c r="F722" t="s">
        <v>1497</v>
      </c>
      <c r="G722" t="s">
        <v>1498</v>
      </c>
      <c r="H722" t="s">
        <v>1199</v>
      </c>
      <c r="I722" t="s">
        <v>1428</v>
      </c>
      <c r="J722" t="s">
        <v>637</v>
      </c>
      <c r="K722" t="s">
        <v>55</v>
      </c>
      <c r="L722" t="s">
        <v>55</v>
      </c>
      <c r="M722" t="s">
        <v>1453</v>
      </c>
    </row>
    <row r="723" spans="1:13" ht="15" customHeight="1" x14ac:dyDescent="0.25">
      <c r="A723" t="s">
        <v>1846</v>
      </c>
      <c r="B723" t="s">
        <v>327</v>
      </c>
      <c r="C723">
        <v>544128</v>
      </c>
      <c r="D723" t="s">
        <v>1499</v>
      </c>
      <c r="E723" t="s">
        <v>1500</v>
      </c>
      <c r="F723" t="s">
        <v>1501</v>
      </c>
      <c r="G723" t="s">
        <v>1502</v>
      </c>
      <c r="H723" t="s">
        <v>1050</v>
      </c>
      <c r="I723" t="s">
        <v>1428</v>
      </c>
      <c r="J723" t="s">
        <v>1075</v>
      </c>
      <c r="K723" t="s">
        <v>55</v>
      </c>
      <c r="L723" t="s">
        <v>55</v>
      </c>
      <c r="M723" t="s">
        <v>1503</v>
      </c>
    </row>
    <row r="724" spans="1:13" ht="15" customHeight="1" x14ac:dyDescent="0.25">
      <c r="A724" t="s">
        <v>1846</v>
      </c>
      <c r="B724" t="s">
        <v>327</v>
      </c>
      <c r="C724">
        <v>544116</v>
      </c>
      <c r="D724" t="s">
        <v>1849</v>
      </c>
      <c r="E724" t="s">
        <v>1850</v>
      </c>
      <c r="F724" t="s">
        <v>1851</v>
      </c>
      <c r="G724" t="s">
        <v>1852</v>
      </c>
      <c r="H724" t="s">
        <v>999</v>
      </c>
      <c r="I724" t="s">
        <v>1428</v>
      </c>
      <c r="J724" t="s">
        <v>660</v>
      </c>
      <c r="K724" t="s">
        <v>55</v>
      </c>
      <c r="L724" t="s">
        <v>55</v>
      </c>
      <c r="M724" t="s">
        <v>1853</v>
      </c>
    </row>
    <row r="725" spans="1:13" ht="15" customHeight="1" x14ac:dyDescent="0.25">
      <c r="A725" t="s">
        <v>1846</v>
      </c>
      <c r="B725" t="s">
        <v>327</v>
      </c>
      <c r="C725">
        <v>543500</v>
      </c>
      <c r="D725" t="s">
        <v>1504</v>
      </c>
      <c r="E725" t="s">
        <v>1505</v>
      </c>
      <c r="F725" t="s">
        <v>1506</v>
      </c>
      <c r="G725" t="s">
        <v>1507</v>
      </c>
      <c r="H725" t="s">
        <v>1508</v>
      </c>
      <c r="I725" t="s">
        <v>1428</v>
      </c>
      <c r="J725" t="s">
        <v>615</v>
      </c>
      <c r="K725" t="s">
        <v>55</v>
      </c>
      <c r="L725" t="s">
        <v>55</v>
      </c>
      <c r="M725" t="s">
        <v>1509</v>
      </c>
    </row>
    <row r="726" spans="1:13" ht="15" customHeight="1" x14ac:dyDescent="0.25">
      <c r="A726" t="s">
        <v>1846</v>
      </c>
      <c r="B726" t="s">
        <v>327</v>
      </c>
      <c r="C726">
        <v>543668</v>
      </c>
      <c r="D726" t="s">
        <v>1510</v>
      </c>
      <c r="E726" t="s">
        <v>1511</v>
      </c>
      <c r="F726" t="s">
        <v>1512</v>
      </c>
      <c r="G726" t="s">
        <v>1513</v>
      </c>
      <c r="H726" t="s">
        <v>803</v>
      </c>
      <c r="I726" t="s">
        <v>1428</v>
      </c>
      <c r="J726" t="s">
        <v>615</v>
      </c>
      <c r="K726" t="s">
        <v>55</v>
      </c>
      <c r="L726" t="s">
        <v>55</v>
      </c>
      <c r="M726" t="s">
        <v>1826</v>
      </c>
    </row>
    <row r="727" spans="1:13" ht="15" customHeight="1" x14ac:dyDescent="0.25">
      <c r="A727" t="s">
        <v>1846</v>
      </c>
      <c r="B727" t="s">
        <v>327</v>
      </c>
      <c r="C727">
        <v>543596</v>
      </c>
      <c r="D727" t="s">
        <v>1514</v>
      </c>
      <c r="E727" t="s">
        <v>1515</v>
      </c>
      <c r="F727" t="s">
        <v>1516</v>
      </c>
      <c r="G727" t="s">
        <v>1517</v>
      </c>
      <c r="H727" t="s">
        <v>1464</v>
      </c>
      <c r="I727" t="s">
        <v>1428</v>
      </c>
      <c r="J727" t="s">
        <v>615</v>
      </c>
      <c r="K727" t="s">
        <v>55</v>
      </c>
      <c r="L727" t="s">
        <v>55</v>
      </c>
      <c r="M727" t="s">
        <v>1518</v>
      </c>
    </row>
    <row r="728" spans="1:13" ht="15" customHeight="1" x14ac:dyDescent="0.25">
      <c r="A728" t="s">
        <v>1846</v>
      </c>
      <c r="B728" t="s">
        <v>327</v>
      </c>
      <c r="C728">
        <v>543670</v>
      </c>
      <c r="D728" t="s">
        <v>1519</v>
      </c>
      <c r="E728" t="s">
        <v>1520</v>
      </c>
      <c r="F728" t="s">
        <v>1521</v>
      </c>
      <c r="G728" t="s">
        <v>1522</v>
      </c>
      <c r="H728" t="s">
        <v>999</v>
      </c>
      <c r="I728" t="s">
        <v>1428</v>
      </c>
      <c r="J728" t="s">
        <v>1523</v>
      </c>
      <c r="K728" t="s">
        <v>55</v>
      </c>
      <c r="L728" t="s">
        <v>55</v>
      </c>
      <c r="M728" t="s">
        <v>1827</v>
      </c>
    </row>
    <row r="729" spans="1:13" ht="15" customHeight="1" x14ac:dyDescent="0.25">
      <c r="A729" t="s">
        <v>1846</v>
      </c>
      <c r="B729" t="s">
        <v>327</v>
      </c>
      <c r="C729">
        <v>543511</v>
      </c>
      <c r="D729" t="s">
        <v>1525</v>
      </c>
      <c r="E729" t="s">
        <v>800</v>
      </c>
      <c r="F729" t="s">
        <v>1526</v>
      </c>
      <c r="G729" t="s">
        <v>1527</v>
      </c>
      <c r="H729" t="s">
        <v>1008</v>
      </c>
      <c r="I729" t="s">
        <v>1428</v>
      </c>
      <c r="J729" t="s">
        <v>615</v>
      </c>
      <c r="K729" t="s">
        <v>55</v>
      </c>
      <c r="L729" t="s">
        <v>55</v>
      </c>
      <c r="M729" t="s">
        <v>1454</v>
      </c>
    </row>
    <row r="730" spans="1:13" ht="15" customHeight="1" x14ac:dyDescent="0.25">
      <c r="A730" t="s">
        <v>1846</v>
      </c>
      <c r="B730" t="s">
        <v>327</v>
      </c>
      <c r="C730">
        <v>544114</v>
      </c>
      <c r="D730" t="s">
        <v>1854</v>
      </c>
      <c r="E730" t="s">
        <v>1855</v>
      </c>
      <c r="F730" t="s">
        <v>1856</v>
      </c>
      <c r="G730" t="s">
        <v>1857</v>
      </c>
      <c r="H730" t="s">
        <v>1464</v>
      </c>
      <c r="I730" t="s">
        <v>1428</v>
      </c>
      <c r="J730" t="s">
        <v>609</v>
      </c>
      <c r="K730" t="s">
        <v>55</v>
      </c>
      <c r="L730" t="s">
        <v>55</v>
      </c>
      <c r="M730" t="s">
        <v>1858</v>
      </c>
    </row>
    <row r="731" spans="1:13" ht="15" customHeight="1" x14ac:dyDescent="0.25">
      <c r="A731" t="s">
        <v>1846</v>
      </c>
      <c r="B731" t="s">
        <v>327</v>
      </c>
      <c r="C731">
        <v>543597</v>
      </c>
      <c r="D731" t="s">
        <v>1528</v>
      </c>
      <c r="E731" t="s">
        <v>1529</v>
      </c>
      <c r="F731" t="s">
        <v>1530</v>
      </c>
      <c r="G731" t="s">
        <v>1531</v>
      </c>
      <c r="H731" t="s">
        <v>999</v>
      </c>
      <c r="I731" t="s">
        <v>1428</v>
      </c>
      <c r="J731" t="s">
        <v>609</v>
      </c>
      <c r="K731" t="s">
        <v>55</v>
      </c>
      <c r="L731" t="s">
        <v>55</v>
      </c>
      <c r="M731" t="s">
        <v>1421</v>
      </c>
    </row>
    <row r="732" spans="1:13" ht="15" customHeight="1" x14ac:dyDescent="0.25">
      <c r="A732" t="s">
        <v>1846</v>
      </c>
      <c r="B732" t="s">
        <v>327</v>
      </c>
      <c r="C732">
        <v>543669</v>
      </c>
      <c r="D732" t="s">
        <v>1532</v>
      </c>
      <c r="E732" t="s">
        <v>1533</v>
      </c>
      <c r="F732" t="s">
        <v>1534</v>
      </c>
      <c r="G732" t="s">
        <v>1535</v>
      </c>
      <c r="H732" t="s">
        <v>1481</v>
      </c>
      <c r="I732" t="s">
        <v>1428</v>
      </c>
      <c r="J732" t="s">
        <v>631</v>
      </c>
      <c r="K732" t="s">
        <v>55</v>
      </c>
      <c r="L732" t="s">
        <v>55</v>
      </c>
      <c r="M732" t="s">
        <v>1536</v>
      </c>
    </row>
    <row r="733" spans="1:13" ht="15" customHeight="1" x14ac:dyDescent="0.25">
      <c r="A733" t="s">
        <v>1846</v>
      </c>
      <c r="B733" t="s">
        <v>327</v>
      </c>
      <c r="C733">
        <v>543591</v>
      </c>
      <c r="D733" t="s">
        <v>1537</v>
      </c>
      <c r="E733" t="s">
        <v>1538</v>
      </c>
      <c r="F733" t="s">
        <v>1539</v>
      </c>
      <c r="G733" t="s">
        <v>1540</v>
      </c>
      <c r="H733" t="s">
        <v>999</v>
      </c>
      <c r="I733" t="s">
        <v>1428</v>
      </c>
      <c r="J733" t="s">
        <v>1541</v>
      </c>
      <c r="K733" t="s">
        <v>55</v>
      </c>
      <c r="L733" t="s">
        <v>55</v>
      </c>
      <c r="M733" t="s">
        <v>1448</v>
      </c>
    </row>
    <row r="734" spans="1:13" ht="15" customHeight="1" x14ac:dyDescent="0.25">
      <c r="A734" t="s">
        <v>1846</v>
      </c>
      <c r="B734" t="s">
        <v>327</v>
      </c>
      <c r="C734">
        <v>544113</v>
      </c>
      <c r="D734" t="s">
        <v>1036</v>
      </c>
      <c r="E734" t="s">
        <v>1064</v>
      </c>
      <c r="F734" t="s">
        <v>1859</v>
      </c>
      <c r="G734" t="s">
        <v>1860</v>
      </c>
      <c r="H734" t="s">
        <v>999</v>
      </c>
      <c r="I734" t="s">
        <v>1428</v>
      </c>
      <c r="J734" t="s">
        <v>777</v>
      </c>
      <c r="K734" t="s">
        <v>55</v>
      </c>
      <c r="L734" t="s">
        <v>55</v>
      </c>
      <c r="M734" t="s">
        <v>1503</v>
      </c>
    </row>
    <row r="735" spans="1:13" ht="15" customHeight="1" x14ac:dyDescent="0.25">
      <c r="A735" t="s">
        <v>1846</v>
      </c>
      <c r="B735" t="s">
        <v>327</v>
      </c>
      <c r="C735">
        <v>543608</v>
      </c>
      <c r="D735" t="s">
        <v>1543</v>
      </c>
      <c r="E735" t="s">
        <v>1544</v>
      </c>
      <c r="F735" t="s">
        <v>1545</v>
      </c>
      <c r="G735" t="s">
        <v>1546</v>
      </c>
      <c r="H735" t="s">
        <v>999</v>
      </c>
      <c r="I735" t="s">
        <v>1428</v>
      </c>
      <c r="J735" t="s">
        <v>927</v>
      </c>
      <c r="K735" t="s">
        <v>55</v>
      </c>
      <c r="L735" t="s">
        <v>55</v>
      </c>
      <c r="M735" t="s">
        <v>1547</v>
      </c>
    </row>
    <row r="736" spans="1:13" ht="15" customHeight="1" x14ac:dyDescent="0.25">
      <c r="A736" t="s">
        <v>1846</v>
      </c>
      <c r="B736" t="s">
        <v>327</v>
      </c>
      <c r="C736">
        <v>543600</v>
      </c>
      <c r="D736" t="s">
        <v>1543</v>
      </c>
      <c r="E736" t="s">
        <v>1548</v>
      </c>
      <c r="F736" t="s">
        <v>1549</v>
      </c>
      <c r="G736" t="s">
        <v>1550</v>
      </c>
      <c r="H736" t="s">
        <v>999</v>
      </c>
      <c r="I736" t="s">
        <v>1428</v>
      </c>
      <c r="J736" t="s">
        <v>1551</v>
      </c>
      <c r="K736" t="s">
        <v>55</v>
      </c>
      <c r="L736" t="s">
        <v>55</v>
      </c>
      <c r="M736" t="s">
        <v>1552</v>
      </c>
    </row>
    <row r="737" spans="1:13" ht="15" customHeight="1" x14ac:dyDescent="0.25">
      <c r="A737" t="s">
        <v>1846</v>
      </c>
      <c r="B737" t="s">
        <v>327</v>
      </c>
      <c r="C737">
        <v>543513</v>
      </c>
      <c r="D737" t="s">
        <v>1046</v>
      </c>
      <c r="E737" t="s">
        <v>1047</v>
      </c>
      <c r="F737" t="s">
        <v>1048</v>
      </c>
      <c r="G737" t="s">
        <v>1049</v>
      </c>
      <c r="H737" t="s">
        <v>1050</v>
      </c>
      <c r="I737" t="s">
        <v>1428</v>
      </c>
      <c r="J737" t="s">
        <v>1051</v>
      </c>
      <c r="K737" t="s">
        <v>55</v>
      </c>
      <c r="L737" t="s">
        <v>55</v>
      </c>
      <c r="M737" t="s">
        <v>1553</v>
      </c>
    </row>
    <row r="738" spans="1:13" ht="15" customHeight="1" x14ac:dyDescent="0.25">
      <c r="A738" t="s">
        <v>1846</v>
      </c>
      <c r="B738" t="s">
        <v>327</v>
      </c>
      <c r="C738">
        <v>544088</v>
      </c>
      <c r="D738" t="s">
        <v>1554</v>
      </c>
      <c r="E738" t="s">
        <v>1555</v>
      </c>
      <c r="F738" t="s">
        <v>1556</v>
      </c>
      <c r="G738" t="s">
        <v>1557</v>
      </c>
      <c r="H738" t="s">
        <v>1481</v>
      </c>
      <c r="I738" t="s">
        <v>1428</v>
      </c>
      <c r="J738" t="s">
        <v>620</v>
      </c>
      <c r="K738" t="s">
        <v>55</v>
      </c>
      <c r="L738" t="s">
        <v>55</v>
      </c>
      <c r="M738" t="s">
        <v>1861</v>
      </c>
    </row>
    <row r="739" spans="1:13" ht="15" customHeight="1" x14ac:dyDescent="0.25">
      <c r="A739" t="s">
        <v>1846</v>
      </c>
      <c r="B739" t="s">
        <v>327</v>
      </c>
      <c r="C739">
        <v>544093</v>
      </c>
      <c r="D739" t="s">
        <v>1559</v>
      </c>
      <c r="E739" t="s">
        <v>1560</v>
      </c>
      <c r="F739" t="s">
        <v>1561</v>
      </c>
      <c r="G739" t="s">
        <v>1562</v>
      </c>
      <c r="H739" t="s">
        <v>999</v>
      </c>
      <c r="I739" t="s">
        <v>1428</v>
      </c>
      <c r="J739" t="s">
        <v>637</v>
      </c>
      <c r="K739" t="s">
        <v>55</v>
      </c>
      <c r="L739" t="s">
        <v>55</v>
      </c>
      <c r="M739" t="s">
        <v>1862</v>
      </c>
    </row>
    <row r="740" spans="1:13" ht="15" customHeight="1" x14ac:dyDescent="0.25">
      <c r="A740" t="s">
        <v>1846</v>
      </c>
      <c r="B740" t="s">
        <v>327</v>
      </c>
      <c r="C740">
        <v>544092</v>
      </c>
      <c r="D740" t="s">
        <v>1564</v>
      </c>
      <c r="E740" t="s">
        <v>1565</v>
      </c>
      <c r="F740" t="s">
        <v>1566</v>
      </c>
      <c r="G740" t="s">
        <v>1567</v>
      </c>
      <c r="H740" t="s">
        <v>999</v>
      </c>
      <c r="I740" t="s">
        <v>1428</v>
      </c>
      <c r="J740" t="s">
        <v>1568</v>
      </c>
      <c r="K740" t="s">
        <v>55</v>
      </c>
      <c r="L740" t="s">
        <v>55</v>
      </c>
      <c r="M740" t="s">
        <v>1569</v>
      </c>
    </row>
    <row r="741" spans="1:13" ht="15" customHeight="1" x14ac:dyDescent="0.25">
      <c r="A741" t="s">
        <v>1846</v>
      </c>
      <c r="B741" t="s">
        <v>327</v>
      </c>
      <c r="C741">
        <v>543811</v>
      </c>
      <c r="D741" t="s">
        <v>1570</v>
      </c>
      <c r="E741" t="s">
        <v>1571</v>
      </c>
      <c r="F741" t="s">
        <v>1572</v>
      </c>
      <c r="G741" t="s">
        <v>1573</v>
      </c>
      <c r="H741" t="s">
        <v>1464</v>
      </c>
      <c r="I741" t="s">
        <v>1428</v>
      </c>
      <c r="J741" t="s">
        <v>615</v>
      </c>
      <c r="K741" t="s">
        <v>55</v>
      </c>
      <c r="L741" t="s">
        <v>55</v>
      </c>
      <c r="M741" t="s">
        <v>1612</v>
      </c>
    </row>
    <row r="742" spans="1:13" ht="15" customHeight="1" x14ac:dyDescent="0.25">
      <c r="A742" t="s">
        <v>1846</v>
      </c>
      <c r="B742" t="s">
        <v>327</v>
      </c>
      <c r="C742">
        <v>544109</v>
      </c>
      <c r="D742" t="s">
        <v>1829</v>
      </c>
      <c r="E742" t="s">
        <v>891</v>
      </c>
      <c r="F742" t="s">
        <v>892</v>
      </c>
      <c r="G742" t="s">
        <v>893</v>
      </c>
      <c r="H742" t="s">
        <v>1830</v>
      </c>
      <c r="I742" t="s">
        <v>1428</v>
      </c>
      <c r="J742" t="s">
        <v>660</v>
      </c>
      <c r="K742" t="s">
        <v>55</v>
      </c>
      <c r="L742" t="s">
        <v>55</v>
      </c>
      <c r="M742" t="s">
        <v>1476</v>
      </c>
    </row>
    <row r="743" spans="1:13" ht="15" customHeight="1" x14ac:dyDescent="0.25">
      <c r="A743" t="s">
        <v>1846</v>
      </c>
      <c r="B743" t="s">
        <v>327</v>
      </c>
      <c r="C743">
        <v>543712</v>
      </c>
      <c r="D743" t="s">
        <v>1574</v>
      </c>
      <c r="E743" t="s">
        <v>1575</v>
      </c>
      <c r="F743" t="s">
        <v>1576</v>
      </c>
      <c r="G743" t="s">
        <v>1577</v>
      </c>
      <c r="H743" t="s">
        <v>1199</v>
      </c>
      <c r="I743" t="s">
        <v>1428</v>
      </c>
      <c r="J743" t="s">
        <v>631</v>
      </c>
      <c r="K743" t="s">
        <v>55</v>
      </c>
      <c r="L743" t="s">
        <v>55</v>
      </c>
      <c r="M743" t="s">
        <v>1639</v>
      </c>
    </row>
    <row r="744" spans="1:13" ht="15" customHeight="1" x14ac:dyDescent="0.25">
      <c r="A744" t="s">
        <v>1846</v>
      </c>
      <c r="B744" t="s">
        <v>327</v>
      </c>
      <c r="C744">
        <v>543658</v>
      </c>
      <c r="D744" t="s">
        <v>1578</v>
      </c>
      <c r="E744" t="s">
        <v>891</v>
      </c>
      <c r="F744" t="s">
        <v>1579</v>
      </c>
      <c r="G744" t="s">
        <v>1580</v>
      </c>
      <c r="H744" t="s">
        <v>1008</v>
      </c>
      <c r="I744" t="s">
        <v>1428</v>
      </c>
      <c r="J744" t="s">
        <v>715</v>
      </c>
      <c r="K744" t="s">
        <v>55</v>
      </c>
      <c r="L744" t="s">
        <v>55</v>
      </c>
      <c r="M744" t="s">
        <v>1581</v>
      </c>
    </row>
    <row r="745" spans="1:13" ht="15" customHeight="1" x14ac:dyDescent="0.25">
      <c r="A745" t="s">
        <v>1846</v>
      </c>
      <c r="B745" t="s">
        <v>327</v>
      </c>
      <c r="C745">
        <v>543657</v>
      </c>
      <c r="D745" t="s">
        <v>1582</v>
      </c>
      <c r="E745" t="s">
        <v>1583</v>
      </c>
      <c r="F745" t="s">
        <v>1584</v>
      </c>
      <c r="G745" t="s">
        <v>1585</v>
      </c>
      <c r="H745" t="s">
        <v>911</v>
      </c>
      <c r="I745" t="s">
        <v>1428</v>
      </c>
      <c r="J745" t="s">
        <v>631</v>
      </c>
      <c r="K745" t="s">
        <v>55</v>
      </c>
      <c r="L745" t="s">
        <v>55</v>
      </c>
      <c r="M745" t="s">
        <v>1586</v>
      </c>
    </row>
    <row r="746" spans="1:13" ht="15" customHeight="1" x14ac:dyDescent="0.25">
      <c r="A746" t="s">
        <v>1846</v>
      </c>
      <c r="B746" t="s">
        <v>327</v>
      </c>
      <c r="C746">
        <v>543656</v>
      </c>
      <c r="D746" t="s">
        <v>1587</v>
      </c>
      <c r="E746" t="s">
        <v>1588</v>
      </c>
      <c r="F746" t="s">
        <v>1589</v>
      </c>
      <c r="G746" t="s">
        <v>1590</v>
      </c>
      <c r="H746" t="s">
        <v>911</v>
      </c>
      <c r="I746" t="s">
        <v>1428</v>
      </c>
      <c r="J746" t="s">
        <v>631</v>
      </c>
      <c r="K746" t="s">
        <v>55</v>
      </c>
      <c r="L746" t="s">
        <v>55</v>
      </c>
      <c r="M746" t="s">
        <v>1586</v>
      </c>
    </row>
    <row r="747" spans="1:13" ht="15" customHeight="1" x14ac:dyDescent="0.25">
      <c r="A747" t="s">
        <v>1846</v>
      </c>
      <c r="B747" t="s">
        <v>327</v>
      </c>
      <c r="C747">
        <v>543514</v>
      </c>
      <c r="D747" t="s">
        <v>1162</v>
      </c>
      <c r="E747" t="s">
        <v>1163</v>
      </c>
      <c r="F747" t="s">
        <v>1164</v>
      </c>
      <c r="G747" t="s">
        <v>1165</v>
      </c>
      <c r="H747" t="s">
        <v>999</v>
      </c>
      <c r="I747" t="s">
        <v>1428</v>
      </c>
      <c r="J747" t="s">
        <v>596</v>
      </c>
      <c r="K747" t="s">
        <v>55</v>
      </c>
      <c r="L747" t="s">
        <v>55</v>
      </c>
      <c r="M747" t="s">
        <v>1863</v>
      </c>
    </row>
    <row r="748" spans="1:13" ht="15" customHeight="1" x14ac:dyDescent="0.25">
      <c r="A748" t="s">
        <v>1846</v>
      </c>
      <c r="B748" t="s">
        <v>327</v>
      </c>
      <c r="C748">
        <v>543661</v>
      </c>
      <c r="D748" t="s">
        <v>1592</v>
      </c>
      <c r="E748" t="s">
        <v>1593</v>
      </c>
      <c r="F748" t="s">
        <v>1594</v>
      </c>
      <c r="G748" t="s">
        <v>1595</v>
      </c>
      <c r="H748" t="s">
        <v>1596</v>
      </c>
      <c r="I748" t="s">
        <v>1428</v>
      </c>
      <c r="J748" t="s">
        <v>603</v>
      </c>
      <c r="K748" t="s">
        <v>55</v>
      </c>
      <c r="L748" t="s">
        <v>55</v>
      </c>
      <c r="M748" t="s">
        <v>1597</v>
      </c>
    </row>
    <row r="749" spans="1:13" ht="15" customHeight="1" x14ac:dyDescent="0.25">
      <c r="A749" t="s">
        <v>1846</v>
      </c>
      <c r="B749" t="s">
        <v>327</v>
      </c>
      <c r="C749">
        <v>543501</v>
      </c>
      <c r="D749" t="s">
        <v>1598</v>
      </c>
      <c r="E749" t="s">
        <v>1599</v>
      </c>
      <c r="F749" t="s">
        <v>1600</v>
      </c>
      <c r="G749" t="s">
        <v>1601</v>
      </c>
      <c r="H749" t="s">
        <v>999</v>
      </c>
      <c r="I749" t="s">
        <v>1428</v>
      </c>
      <c r="J749" t="s">
        <v>615</v>
      </c>
      <c r="K749" t="s">
        <v>55</v>
      </c>
      <c r="L749" t="s">
        <v>55</v>
      </c>
      <c r="M749" t="s">
        <v>1465</v>
      </c>
    </row>
    <row r="750" spans="1:13" ht="15" customHeight="1" x14ac:dyDescent="0.25">
      <c r="A750" t="s">
        <v>1846</v>
      </c>
      <c r="B750" t="s">
        <v>327</v>
      </c>
      <c r="C750">
        <v>543594</v>
      </c>
      <c r="D750" t="s">
        <v>1603</v>
      </c>
      <c r="E750" t="s">
        <v>1604</v>
      </c>
      <c r="F750" t="s">
        <v>1605</v>
      </c>
      <c r="G750" t="s">
        <v>1606</v>
      </c>
      <c r="H750" t="s">
        <v>1377</v>
      </c>
      <c r="I750" t="s">
        <v>1428</v>
      </c>
      <c r="J750" t="s">
        <v>631</v>
      </c>
      <c r="K750" t="s">
        <v>55</v>
      </c>
      <c r="L750" t="s">
        <v>55</v>
      </c>
      <c r="M750" t="s">
        <v>1607</v>
      </c>
    </row>
    <row r="751" spans="1:13" ht="15" customHeight="1" x14ac:dyDescent="0.25">
      <c r="A751" t="s">
        <v>1846</v>
      </c>
      <c r="B751" t="s">
        <v>327</v>
      </c>
      <c r="C751">
        <v>544095</v>
      </c>
      <c r="D751" t="s">
        <v>1608</v>
      </c>
      <c r="E751" t="s">
        <v>1609</v>
      </c>
      <c r="F751" t="s">
        <v>1610</v>
      </c>
      <c r="G751" t="s">
        <v>1611</v>
      </c>
      <c r="H751" t="s">
        <v>999</v>
      </c>
      <c r="I751" t="s">
        <v>1428</v>
      </c>
      <c r="J751" t="s">
        <v>751</v>
      </c>
      <c r="K751" t="s">
        <v>55</v>
      </c>
      <c r="L751" t="s">
        <v>55</v>
      </c>
      <c r="M751" t="s">
        <v>1454</v>
      </c>
    </row>
    <row r="752" spans="1:13" ht="15" customHeight="1" x14ac:dyDescent="0.25">
      <c r="A752" t="s">
        <v>1846</v>
      </c>
      <c r="B752" t="s">
        <v>327</v>
      </c>
      <c r="C752">
        <v>543504</v>
      </c>
      <c r="D752" t="s">
        <v>1613</v>
      </c>
      <c r="E752" t="s">
        <v>1614</v>
      </c>
      <c r="F752" t="s">
        <v>1615</v>
      </c>
      <c r="G752" t="s">
        <v>1616</v>
      </c>
      <c r="H752" t="s">
        <v>1199</v>
      </c>
      <c r="I752" t="s">
        <v>1428</v>
      </c>
      <c r="J752" t="s">
        <v>620</v>
      </c>
      <c r="K752" t="s">
        <v>55</v>
      </c>
      <c r="L752" t="s">
        <v>55</v>
      </c>
      <c r="M752" t="s">
        <v>1617</v>
      </c>
    </row>
    <row r="753" spans="1:13" ht="15" customHeight="1" x14ac:dyDescent="0.25">
      <c r="A753" t="s">
        <v>1846</v>
      </c>
      <c r="B753" t="s">
        <v>327</v>
      </c>
      <c r="C753">
        <v>543508</v>
      </c>
      <c r="D753" t="s">
        <v>1409</v>
      </c>
      <c r="E753" t="s">
        <v>1618</v>
      </c>
      <c r="F753" t="s">
        <v>1619</v>
      </c>
      <c r="G753" t="s">
        <v>1620</v>
      </c>
      <c r="H753" t="s">
        <v>1199</v>
      </c>
      <c r="I753" t="s">
        <v>1428</v>
      </c>
      <c r="J753" t="s">
        <v>1621</v>
      </c>
      <c r="K753" t="s">
        <v>55</v>
      </c>
      <c r="L753" t="s">
        <v>55</v>
      </c>
      <c r="M753" t="s">
        <v>1622</v>
      </c>
    </row>
    <row r="754" spans="1:13" ht="15" customHeight="1" x14ac:dyDescent="0.25">
      <c r="A754" t="s">
        <v>1846</v>
      </c>
      <c r="B754" t="s">
        <v>327</v>
      </c>
      <c r="C754">
        <v>543505</v>
      </c>
      <c r="D754" t="s">
        <v>1623</v>
      </c>
      <c r="E754" t="s">
        <v>1624</v>
      </c>
      <c r="F754" t="s">
        <v>1625</v>
      </c>
      <c r="G754" t="s">
        <v>1626</v>
      </c>
      <c r="H754" t="s">
        <v>1475</v>
      </c>
      <c r="I754" t="s">
        <v>1428</v>
      </c>
      <c r="J754" t="s">
        <v>620</v>
      </c>
      <c r="K754" t="s">
        <v>55</v>
      </c>
      <c r="L754" t="s">
        <v>55</v>
      </c>
      <c r="M754" t="s">
        <v>1547</v>
      </c>
    </row>
    <row r="755" spans="1:13" ht="15" customHeight="1" x14ac:dyDescent="0.25">
      <c r="A755" t="s">
        <v>1846</v>
      </c>
      <c r="B755" t="s">
        <v>327</v>
      </c>
      <c r="C755">
        <v>543510</v>
      </c>
      <c r="D755" t="s">
        <v>1623</v>
      </c>
      <c r="E755" t="s">
        <v>1627</v>
      </c>
      <c r="F755" t="s">
        <v>1628</v>
      </c>
      <c r="G755" t="s">
        <v>1629</v>
      </c>
      <c r="H755" t="s">
        <v>1475</v>
      </c>
      <c r="I755" t="s">
        <v>1428</v>
      </c>
      <c r="J755" t="s">
        <v>620</v>
      </c>
      <c r="K755" t="s">
        <v>55</v>
      </c>
      <c r="L755" t="s">
        <v>55</v>
      </c>
      <c r="M755" t="s">
        <v>1617</v>
      </c>
    </row>
    <row r="756" spans="1:13" ht="15" customHeight="1" x14ac:dyDescent="0.25">
      <c r="A756" t="s">
        <v>1846</v>
      </c>
      <c r="B756" t="s">
        <v>327</v>
      </c>
      <c r="C756">
        <v>543660</v>
      </c>
      <c r="D756" t="s">
        <v>1630</v>
      </c>
      <c r="E756" t="s">
        <v>1631</v>
      </c>
      <c r="F756" t="s">
        <v>1632</v>
      </c>
      <c r="G756" t="s">
        <v>1633</v>
      </c>
      <c r="H756" t="s">
        <v>1199</v>
      </c>
      <c r="I756" t="s">
        <v>1428</v>
      </c>
      <c r="J756" t="s">
        <v>620</v>
      </c>
      <c r="K756" t="s">
        <v>55</v>
      </c>
      <c r="L756" t="s">
        <v>55</v>
      </c>
      <c r="M756" t="s">
        <v>1634</v>
      </c>
    </row>
    <row r="757" spans="1:13" ht="15" customHeight="1" x14ac:dyDescent="0.25">
      <c r="A757" t="s">
        <v>1846</v>
      </c>
      <c r="B757" t="s">
        <v>327</v>
      </c>
      <c r="C757">
        <v>544094</v>
      </c>
      <c r="D757" t="s">
        <v>1635</v>
      </c>
      <c r="E757" t="s">
        <v>1636</v>
      </c>
      <c r="F757" t="s">
        <v>1637</v>
      </c>
      <c r="G757" t="s">
        <v>1638</v>
      </c>
      <c r="H757" t="s">
        <v>999</v>
      </c>
      <c r="I757" t="s">
        <v>1428</v>
      </c>
      <c r="J757" t="s">
        <v>631</v>
      </c>
      <c r="K757" t="s">
        <v>55</v>
      </c>
      <c r="L757" t="s">
        <v>55</v>
      </c>
      <c r="M757" t="s">
        <v>1639</v>
      </c>
    </row>
    <row r="758" spans="1:13" ht="15" customHeight="1" x14ac:dyDescent="0.25">
      <c r="A758" t="s">
        <v>1846</v>
      </c>
      <c r="B758" t="s">
        <v>327</v>
      </c>
      <c r="C758">
        <v>543515</v>
      </c>
      <c r="D758" t="s">
        <v>1288</v>
      </c>
      <c r="E758" t="s">
        <v>1289</v>
      </c>
      <c r="F758" t="s">
        <v>1290</v>
      </c>
      <c r="G758" t="s">
        <v>1291</v>
      </c>
      <c r="H758" t="s">
        <v>803</v>
      </c>
      <c r="I758" t="s">
        <v>1428</v>
      </c>
      <c r="J758" t="s">
        <v>927</v>
      </c>
      <c r="K758" t="s">
        <v>55</v>
      </c>
      <c r="L758" t="s">
        <v>55</v>
      </c>
      <c r="M758" t="s">
        <v>1640</v>
      </c>
    </row>
    <row r="759" spans="1:13" ht="15" customHeight="1" x14ac:dyDescent="0.25">
      <c r="A759" t="s">
        <v>1846</v>
      </c>
      <c r="B759" t="s">
        <v>327</v>
      </c>
      <c r="C759">
        <v>543516</v>
      </c>
      <c r="D759" t="s">
        <v>1641</v>
      </c>
      <c r="E759" t="s">
        <v>1642</v>
      </c>
      <c r="F759" t="s">
        <v>1643</v>
      </c>
      <c r="G759" t="s">
        <v>1644</v>
      </c>
      <c r="H759" t="s">
        <v>999</v>
      </c>
      <c r="I759" t="s">
        <v>1428</v>
      </c>
      <c r="J759" t="s">
        <v>1645</v>
      </c>
      <c r="K759" t="s">
        <v>55</v>
      </c>
      <c r="L759" t="s">
        <v>55</v>
      </c>
      <c r="M759" t="s">
        <v>1421</v>
      </c>
    </row>
    <row r="760" spans="1:13" ht="15" customHeight="1" x14ac:dyDescent="0.25">
      <c r="A760" t="s">
        <v>1864</v>
      </c>
      <c r="B760" t="s">
        <v>327</v>
      </c>
      <c r="C760">
        <v>544069</v>
      </c>
      <c r="D760" t="s">
        <v>1424</v>
      </c>
      <c r="E760" t="s">
        <v>1425</v>
      </c>
      <c r="F760" t="s">
        <v>1426</v>
      </c>
      <c r="G760" t="s">
        <v>1427</v>
      </c>
      <c r="H760" t="s">
        <v>1199</v>
      </c>
      <c r="I760" t="s">
        <v>1428</v>
      </c>
      <c r="J760" t="s">
        <v>770</v>
      </c>
      <c r="K760" t="s">
        <v>55</v>
      </c>
      <c r="L760" t="s">
        <v>55</v>
      </c>
      <c r="M760" t="s">
        <v>1429</v>
      </c>
    </row>
    <row r="761" spans="1:13" ht="15" customHeight="1" x14ac:dyDescent="0.25">
      <c r="A761" t="s">
        <v>1864</v>
      </c>
      <c r="B761" t="s">
        <v>327</v>
      </c>
      <c r="C761">
        <v>544090</v>
      </c>
      <c r="D761" t="s">
        <v>1430</v>
      </c>
      <c r="E761" t="s">
        <v>1431</v>
      </c>
      <c r="F761" t="s">
        <v>1432</v>
      </c>
      <c r="G761" t="s">
        <v>1433</v>
      </c>
      <c r="H761" t="s">
        <v>999</v>
      </c>
      <c r="I761" t="s">
        <v>1428</v>
      </c>
      <c r="J761" t="s">
        <v>1305</v>
      </c>
      <c r="K761" t="s">
        <v>55</v>
      </c>
      <c r="L761" t="s">
        <v>55</v>
      </c>
      <c r="M761" t="s">
        <v>1847</v>
      </c>
    </row>
    <row r="762" spans="1:13" ht="15" customHeight="1" x14ac:dyDescent="0.25">
      <c r="A762" t="s">
        <v>1864</v>
      </c>
      <c r="B762" t="s">
        <v>327</v>
      </c>
      <c r="C762">
        <v>543655</v>
      </c>
      <c r="D762" t="s">
        <v>1435</v>
      </c>
      <c r="E762" t="s">
        <v>1436</v>
      </c>
      <c r="F762" t="s">
        <v>1437</v>
      </c>
      <c r="G762" t="s">
        <v>1438</v>
      </c>
      <c r="H762" t="s">
        <v>1008</v>
      </c>
      <c r="I762" t="s">
        <v>1428</v>
      </c>
      <c r="J762" t="s">
        <v>809</v>
      </c>
      <c r="K762" t="s">
        <v>55</v>
      </c>
      <c r="L762" t="s">
        <v>55</v>
      </c>
      <c r="M762" t="s">
        <v>1848</v>
      </c>
    </row>
    <row r="763" spans="1:13" ht="15" customHeight="1" x14ac:dyDescent="0.25">
      <c r="A763" t="s">
        <v>1864</v>
      </c>
      <c r="B763" t="s">
        <v>327</v>
      </c>
      <c r="C763">
        <v>543710</v>
      </c>
      <c r="D763" t="s">
        <v>1440</v>
      </c>
      <c r="E763" t="s">
        <v>1441</v>
      </c>
      <c r="F763" t="s">
        <v>1442</v>
      </c>
      <c r="G763" t="s">
        <v>1443</v>
      </c>
      <c r="H763" t="s">
        <v>999</v>
      </c>
      <c r="I763" t="s">
        <v>1428</v>
      </c>
      <c r="J763" t="s">
        <v>609</v>
      </c>
      <c r="K763" t="s">
        <v>55</v>
      </c>
      <c r="L763" t="s">
        <v>55</v>
      </c>
      <c r="M763" t="s">
        <v>1569</v>
      </c>
    </row>
    <row r="764" spans="1:13" ht="15" customHeight="1" x14ac:dyDescent="0.25">
      <c r="A764" t="s">
        <v>1864</v>
      </c>
      <c r="B764" t="s">
        <v>327</v>
      </c>
      <c r="C764">
        <v>543503</v>
      </c>
      <c r="D764" t="s">
        <v>1445</v>
      </c>
      <c r="E764" t="s">
        <v>683</v>
      </c>
      <c r="F764" t="s">
        <v>1446</v>
      </c>
      <c r="G764" t="s">
        <v>1447</v>
      </c>
      <c r="H764" t="s">
        <v>999</v>
      </c>
      <c r="I764" t="s">
        <v>1428</v>
      </c>
      <c r="J764" t="s">
        <v>715</v>
      </c>
      <c r="K764" t="s">
        <v>55</v>
      </c>
      <c r="L764" t="s">
        <v>55</v>
      </c>
      <c r="M764" t="s">
        <v>1448</v>
      </c>
    </row>
    <row r="765" spans="1:13" ht="15" customHeight="1" x14ac:dyDescent="0.25">
      <c r="A765" t="s">
        <v>1864</v>
      </c>
      <c r="B765" t="s">
        <v>327</v>
      </c>
      <c r="C765">
        <v>543599</v>
      </c>
      <c r="D765" t="s">
        <v>1449</v>
      </c>
      <c r="E765" t="s">
        <v>1450</v>
      </c>
      <c r="F765" t="s">
        <v>1451</v>
      </c>
      <c r="G765" t="s">
        <v>1452</v>
      </c>
      <c r="H765" t="s">
        <v>999</v>
      </c>
      <c r="I765" t="s">
        <v>1428</v>
      </c>
      <c r="J765" t="s">
        <v>777</v>
      </c>
      <c r="K765" t="s">
        <v>55</v>
      </c>
      <c r="L765" t="s">
        <v>55</v>
      </c>
      <c r="M765" t="s">
        <v>1453</v>
      </c>
    </row>
    <row r="766" spans="1:13" ht="15" customHeight="1" x14ac:dyDescent="0.25">
      <c r="A766" t="s">
        <v>1864</v>
      </c>
      <c r="B766" t="s">
        <v>327</v>
      </c>
      <c r="C766">
        <v>543601</v>
      </c>
      <c r="D766" t="s">
        <v>1331</v>
      </c>
      <c r="E766" t="s">
        <v>1332</v>
      </c>
      <c r="F766" t="s">
        <v>1333</v>
      </c>
      <c r="G766" t="s">
        <v>1334</v>
      </c>
      <c r="H766" t="s">
        <v>1199</v>
      </c>
      <c r="I766" t="s">
        <v>1428</v>
      </c>
      <c r="J766" t="s">
        <v>1335</v>
      </c>
      <c r="K766" t="s">
        <v>55</v>
      </c>
      <c r="L766" t="s">
        <v>55</v>
      </c>
      <c r="M766" t="s">
        <v>1454</v>
      </c>
    </row>
    <row r="767" spans="1:13" ht="15" customHeight="1" x14ac:dyDescent="0.25">
      <c r="A767" t="s">
        <v>1864</v>
      </c>
      <c r="B767" t="s">
        <v>327</v>
      </c>
      <c r="C767">
        <v>543502</v>
      </c>
      <c r="D767" t="s">
        <v>1455</v>
      </c>
      <c r="E767" t="s">
        <v>60</v>
      </c>
      <c r="F767" t="s">
        <v>1456</v>
      </c>
      <c r="G767" t="s">
        <v>1457</v>
      </c>
      <c r="H767" t="s">
        <v>999</v>
      </c>
      <c r="I767" t="s">
        <v>1428</v>
      </c>
      <c r="J767" t="s">
        <v>1458</v>
      </c>
      <c r="K767" t="s">
        <v>55</v>
      </c>
      <c r="L767" t="s">
        <v>55</v>
      </c>
      <c r="M767" t="s">
        <v>1459</v>
      </c>
    </row>
    <row r="768" spans="1:13" ht="15" customHeight="1" x14ac:dyDescent="0.25">
      <c r="A768" t="s">
        <v>1864</v>
      </c>
      <c r="B768" t="s">
        <v>327</v>
      </c>
      <c r="C768">
        <v>543659</v>
      </c>
      <c r="D768" t="s">
        <v>1460</v>
      </c>
      <c r="E768" t="s">
        <v>1461</v>
      </c>
      <c r="F768" t="s">
        <v>1462</v>
      </c>
      <c r="G768" t="s">
        <v>1463</v>
      </c>
      <c r="H768" t="s">
        <v>1464</v>
      </c>
      <c r="I768" t="s">
        <v>1428</v>
      </c>
      <c r="J768" t="s">
        <v>660</v>
      </c>
      <c r="K768" t="s">
        <v>55</v>
      </c>
      <c r="L768" t="s">
        <v>55</v>
      </c>
      <c r="M768" t="s">
        <v>1602</v>
      </c>
    </row>
    <row r="769" spans="1:13" ht="15" customHeight="1" x14ac:dyDescent="0.25">
      <c r="A769" t="s">
        <v>1864</v>
      </c>
      <c r="B769" t="s">
        <v>327</v>
      </c>
      <c r="C769">
        <v>544091</v>
      </c>
      <c r="D769" t="s">
        <v>1466</v>
      </c>
      <c r="E769" t="s">
        <v>1467</v>
      </c>
      <c r="F769" t="s">
        <v>1468</v>
      </c>
      <c r="G769" t="s">
        <v>1469</v>
      </c>
      <c r="H769" t="s">
        <v>1464</v>
      </c>
      <c r="I769" t="s">
        <v>1428</v>
      </c>
      <c r="J769" t="s">
        <v>620</v>
      </c>
      <c r="K769" t="s">
        <v>55</v>
      </c>
      <c r="L769" t="s">
        <v>55</v>
      </c>
      <c r="M769" t="s">
        <v>1826</v>
      </c>
    </row>
    <row r="770" spans="1:13" ht="15" customHeight="1" x14ac:dyDescent="0.25">
      <c r="A770" t="s">
        <v>1864</v>
      </c>
      <c r="B770" t="s">
        <v>327</v>
      </c>
      <c r="C770">
        <v>543509</v>
      </c>
      <c r="D770" t="s">
        <v>1471</v>
      </c>
      <c r="E770" t="s">
        <v>1472</v>
      </c>
      <c r="F770" t="s">
        <v>1473</v>
      </c>
      <c r="G770" t="s">
        <v>1474</v>
      </c>
      <c r="H770" t="s">
        <v>1475</v>
      </c>
      <c r="I770" t="s">
        <v>1428</v>
      </c>
      <c r="J770" t="s">
        <v>1263</v>
      </c>
      <c r="K770" t="s">
        <v>55</v>
      </c>
      <c r="L770" t="s">
        <v>55</v>
      </c>
      <c r="M770" t="s">
        <v>1476</v>
      </c>
    </row>
    <row r="771" spans="1:13" ht="15" customHeight="1" x14ac:dyDescent="0.25">
      <c r="A771" t="s">
        <v>1864</v>
      </c>
      <c r="B771" t="s">
        <v>327</v>
      </c>
      <c r="C771">
        <v>543711</v>
      </c>
      <c r="D771" t="s">
        <v>1477</v>
      </c>
      <c r="E771" t="s">
        <v>1478</v>
      </c>
      <c r="F771" t="s">
        <v>1479</v>
      </c>
      <c r="G771" t="s">
        <v>1480</v>
      </c>
      <c r="H771" t="s">
        <v>1481</v>
      </c>
      <c r="I771" t="s">
        <v>1428</v>
      </c>
      <c r="J771" t="s">
        <v>631</v>
      </c>
      <c r="K771" t="s">
        <v>55</v>
      </c>
      <c r="L771" t="s">
        <v>55</v>
      </c>
      <c r="M771" t="s">
        <v>1482</v>
      </c>
    </row>
    <row r="772" spans="1:13" ht="15" customHeight="1" x14ac:dyDescent="0.25">
      <c r="A772" t="s">
        <v>1864</v>
      </c>
      <c r="B772" t="s">
        <v>327</v>
      </c>
      <c r="C772">
        <v>543499</v>
      </c>
      <c r="D772" t="s">
        <v>1483</v>
      </c>
      <c r="E772" t="s">
        <v>1484</v>
      </c>
      <c r="F772" t="s">
        <v>1485</v>
      </c>
      <c r="G772" t="s">
        <v>1486</v>
      </c>
      <c r="H772" t="s">
        <v>1464</v>
      </c>
      <c r="I772" t="s">
        <v>1428</v>
      </c>
      <c r="J772" t="s">
        <v>751</v>
      </c>
      <c r="K772" t="s">
        <v>55</v>
      </c>
      <c r="L772" t="s">
        <v>55</v>
      </c>
      <c r="M772" t="s">
        <v>1487</v>
      </c>
    </row>
    <row r="773" spans="1:13" ht="15" customHeight="1" x14ac:dyDescent="0.25">
      <c r="A773" t="s">
        <v>1864</v>
      </c>
      <c r="B773" t="s">
        <v>327</v>
      </c>
      <c r="C773">
        <v>543507</v>
      </c>
      <c r="D773" t="s">
        <v>1342</v>
      </c>
      <c r="E773" t="s">
        <v>1346</v>
      </c>
      <c r="F773" t="s">
        <v>1347</v>
      </c>
      <c r="G773" t="s">
        <v>1348</v>
      </c>
      <c r="H773" t="s">
        <v>1199</v>
      </c>
      <c r="I773" t="s">
        <v>1428</v>
      </c>
      <c r="J773" t="s">
        <v>1349</v>
      </c>
      <c r="K773" t="s">
        <v>55</v>
      </c>
      <c r="L773" t="s">
        <v>55</v>
      </c>
      <c r="M773" t="s">
        <v>1429</v>
      </c>
    </row>
    <row r="774" spans="1:13" ht="15" customHeight="1" x14ac:dyDescent="0.25">
      <c r="A774" t="s">
        <v>1864</v>
      </c>
      <c r="B774" t="s">
        <v>327</v>
      </c>
      <c r="C774">
        <v>544117</v>
      </c>
      <c r="D774" t="s">
        <v>1865</v>
      </c>
      <c r="E774" t="s">
        <v>1866</v>
      </c>
      <c r="F774" t="s">
        <v>1867</v>
      </c>
      <c r="G774" t="s">
        <v>1868</v>
      </c>
      <c r="H774" t="s">
        <v>1481</v>
      </c>
      <c r="I774" t="s">
        <v>1428</v>
      </c>
      <c r="J774" t="s">
        <v>715</v>
      </c>
      <c r="K774" t="s">
        <v>55</v>
      </c>
      <c r="L774" t="s">
        <v>55</v>
      </c>
      <c r="M774" t="s">
        <v>1869</v>
      </c>
    </row>
    <row r="775" spans="1:13" ht="15" customHeight="1" x14ac:dyDescent="0.25">
      <c r="A775" t="s">
        <v>1864</v>
      </c>
      <c r="B775" t="s">
        <v>327</v>
      </c>
      <c r="C775">
        <v>543512</v>
      </c>
      <c r="D775" t="s">
        <v>1488</v>
      </c>
      <c r="E775" t="s">
        <v>1489</v>
      </c>
      <c r="F775" t="s">
        <v>1490</v>
      </c>
      <c r="G775" t="s">
        <v>1491</v>
      </c>
      <c r="H775" t="s">
        <v>757</v>
      </c>
      <c r="I775" t="s">
        <v>1428</v>
      </c>
      <c r="J775" t="s">
        <v>770</v>
      </c>
      <c r="K775" t="s">
        <v>55</v>
      </c>
      <c r="L775" t="s">
        <v>55</v>
      </c>
      <c r="M775" t="s">
        <v>1612</v>
      </c>
    </row>
    <row r="776" spans="1:13" ht="15" customHeight="1" x14ac:dyDescent="0.25">
      <c r="A776" t="s">
        <v>1864</v>
      </c>
      <c r="B776" t="s">
        <v>327</v>
      </c>
      <c r="C776">
        <v>543592</v>
      </c>
      <c r="D776" t="s">
        <v>1492</v>
      </c>
      <c r="E776" t="s">
        <v>1496</v>
      </c>
      <c r="F776" t="s">
        <v>1497</v>
      </c>
      <c r="G776" t="s">
        <v>1498</v>
      </c>
      <c r="H776" t="s">
        <v>1199</v>
      </c>
      <c r="I776" t="s">
        <v>1428</v>
      </c>
      <c r="J776" t="s">
        <v>637</v>
      </c>
      <c r="K776" t="s">
        <v>55</v>
      </c>
      <c r="L776" t="s">
        <v>55</v>
      </c>
      <c r="M776" t="s">
        <v>1453</v>
      </c>
    </row>
    <row r="777" spans="1:13" ht="15" customHeight="1" x14ac:dyDescent="0.25">
      <c r="A777" t="s">
        <v>1864</v>
      </c>
      <c r="B777" t="s">
        <v>327</v>
      </c>
      <c r="C777">
        <v>543593</v>
      </c>
      <c r="D777" t="s">
        <v>1492</v>
      </c>
      <c r="E777" t="s">
        <v>1493</v>
      </c>
      <c r="F777" t="s">
        <v>1494</v>
      </c>
      <c r="G777" t="s">
        <v>1495</v>
      </c>
      <c r="H777" t="s">
        <v>1199</v>
      </c>
      <c r="I777" t="s">
        <v>1428</v>
      </c>
      <c r="J777" t="s">
        <v>615</v>
      </c>
      <c r="K777" t="s">
        <v>55</v>
      </c>
      <c r="L777" t="s">
        <v>55</v>
      </c>
      <c r="M777" t="s">
        <v>1591</v>
      </c>
    </row>
    <row r="778" spans="1:13" ht="15" customHeight="1" x14ac:dyDescent="0.25">
      <c r="A778" t="s">
        <v>1864</v>
      </c>
      <c r="B778" t="s">
        <v>327</v>
      </c>
      <c r="C778">
        <v>544128</v>
      </c>
      <c r="D778" t="s">
        <v>1499</v>
      </c>
      <c r="E778" t="s">
        <v>1500</v>
      </c>
      <c r="F778" t="s">
        <v>1501</v>
      </c>
      <c r="G778" t="s">
        <v>1502</v>
      </c>
      <c r="H778" t="s">
        <v>1050</v>
      </c>
      <c r="I778" t="s">
        <v>1428</v>
      </c>
      <c r="J778" t="s">
        <v>1075</v>
      </c>
      <c r="K778" t="s">
        <v>55</v>
      </c>
      <c r="L778" t="s">
        <v>55</v>
      </c>
      <c r="M778" t="s">
        <v>1503</v>
      </c>
    </row>
    <row r="779" spans="1:13" ht="15" customHeight="1" x14ac:dyDescent="0.25">
      <c r="A779" t="s">
        <v>1864</v>
      </c>
      <c r="B779" t="s">
        <v>327</v>
      </c>
      <c r="C779">
        <v>544116</v>
      </c>
      <c r="D779" t="s">
        <v>1849</v>
      </c>
      <c r="E779" t="s">
        <v>1850</v>
      </c>
      <c r="F779" t="s">
        <v>1851</v>
      </c>
      <c r="G779" t="s">
        <v>1852</v>
      </c>
      <c r="H779" t="s">
        <v>999</v>
      </c>
      <c r="I779" t="s">
        <v>1428</v>
      </c>
      <c r="J779" t="s">
        <v>660</v>
      </c>
      <c r="K779" t="s">
        <v>55</v>
      </c>
      <c r="L779" t="s">
        <v>55</v>
      </c>
      <c r="M779" t="s">
        <v>1853</v>
      </c>
    </row>
    <row r="780" spans="1:13" ht="15" customHeight="1" x14ac:dyDescent="0.25">
      <c r="A780" t="s">
        <v>1864</v>
      </c>
      <c r="B780" t="s">
        <v>327</v>
      </c>
      <c r="C780">
        <v>543500</v>
      </c>
      <c r="D780" t="s">
        <v>1504</v>
      </c>
      <c r="E780" t="s">
        <v>1505</v>
      </c>
      <c r="F780" t="s">
        <v>1506</v>
      </c>
      <c r="G780" t="s">
        <v>1507</v>
      </c>
      <c r="H780" t="s">
        <v>1508</v>
      </c>
      <c r="I780" t="s">
        <v>1428</v>
      </c>
      <c r="J780" t="s">
        <v>615</v>
      </c>
      <c r="K780" t="s">
        <v>55</v>
      </c>
      <c r="L780" t="s">
        <v>55</v>
      </c>
      <c r="M780" t="s">
        <v>1509</v>
      </c>
    </row>
    <row r="781" spans="1:13" ht="15" customHeight="1" x14ac:dyDescent="0.25">
      <c r="A781" t="s">
        <v>1864</v>
      </c>
      <c r="B781" t="s">
        <v>327</v>
      </c>
      <c r="C781">
        <v>543668</v>
      </c>
      <c r="D781" t="s">
        <v>1510</v>
      </c>
      <c r="E781" t="s">
        <v>1511</v>
      </c>
      <c r="F781" t="s">
        <v>1512</v>
      </c>
      <c r="G781" t="s">
        <v>1513</v>
      </c>
      <c r="H781" t="s">
        <v>803</v>
      </c>
      <c r="I781" t="s">
        <v>1428</v>
      </c>
      <c r="J781" t="s">
        <v>615</v>
      </c>
      <c r="K781" t="s">
        <v>55</v>
      </c>
      <c r="L781" t="s">
        <v>55</v>
      </c>
      <c r="M781" t="s">
        <v>1826</v>
      </c>
    </row>
    <row r="782" spans="1:13" ht="15" customHeight="1" x14ac:dyDescent="0.25">
      <c r="A782" t="s">
        <v>1864</v>
      </c>
      <c r="B782" t="s">
        <v>327</v>
      </c>
      <c r="C782">
        <v>543596</v>
      </c>
      <c r="D782" t="s">
        <v>1514</v>
      </c>
      <c r="E782" t="s">
        <v>1515</v>
      </c>
      <c r="F782" t="s">
        <v>1516</v>
      </c>
      <c r="G782" t="s">
        <v>1517</v>
      </c>
      <c r="H782" t="s">
        <v>1464</v>
      </c>
      <c r="I782" t="s">
        <v>1428</v>
      </c>
      <c r="J782" t="s">
        <v>615</v>
      </c>
      <c r="K782" t="s">
        <v>55</v>
      </c>
      <c r="L782" t="s">
        <v>55</v>
      </c>
      <c r="M782" t="s">
        <v>1518</v>
      </c>
    </row>
    <row r="783" spans="1:13" ht="15" customHeight="1" x14ac:dyDescent="0.25">
      <c r="A783" t="s">
        <v>1864</v>
      </c>
      <c r="B783" t="s">
        <v>327</v>
      </c>
      <c r="C783">
        <v>543670</v>
      </c>
      <c r="D783" t="s">
        <v>1519</v>
      </c>
      <c r="E783" t="s">
        <v>1520</v>
      </c>
      <c r="F783" t="s">
        <v>1521</v>
      </c>
      <c r="G783" t="s">
        <v>1522</v>
      </c>
      <c r="H783" t="s">
        <v>999</v>
      </c>
      <c r="I783" t="s">
        <v>1428</v>
      </c>
      <c r="J783" t="s">
        <v>1523</v>
      </c>
      <c r="K783" t="s">
        <v>55</v>
      </c>
      <c r="L783" t="s">
        <v>55</v>
      </c>
      <c r="M783" t="s">
        <v>1827</v>
      </c>
    </row>
    <row r="784" spans="1:13" ht="15" customHeight="1" x14ac:dyDescent="0.25">
      <c r="A784" t="s">
        <v>1864</v>
      </c>
      <c r="B784" t="s">
        <v>327</v>
      </c>
      <c r="C784">
        <v>543511</v>
      </c>
      <c r="D784" t="s">
        <v>1525</v>
      </c>
      <c r="E784" t="s">
        <v>800</v>
      </c>
      <c r="F784" t="s">
        <v>1526</v>
      </c>
      <c r="G784" t="s">
        <v>1527</v>
      </c>
      <c r="H784" t="s">
        <v>1008</v>
      </c>
      <c r="I784" t="s">
        <v>1428</v>
      </c>
      <c r="J784" t="s">
        <v>615</v>
      </c>
      <c r="K784" t="s">
        <v>55</v>
      </c>
      <c r="L784" t="s">
        <v>55</v>
      </c>
      <c r="M784" t="s">
        <v>1454</v>
      </c>
    </row>
    <row r="785" spans="1:13" ht="15" customHeight="1" x14ac:dyDescent="0.25">
      <c r="A785" t="s">
        <v>1864</v>
      </c>
      <c r="B785" t="s">
        <v>327</v>
      </c>
      <c r="C785">
        <v>544114</v>
      </c>
      <c r="D785" t="s">
        <v>1854</v>
      </c>
      <c r="E785" t="s">
        <v>1855</v>
      </c>
      <c r="F785" t="s">
        <v>1856</v>
      </c>
      <c r="G785" t="s">
        <v>1857</v>
      </c>
      <c r="H785" t="s">
        <v>1464</v>
      </c>
      <c r="I785" t="s">
        <v>1428</v>
      </c>
      <c r="J785" t="s">
        <v>609</v>
      </c>
      <c r="K785" t="s">
        <v>55</v>
      </c>
      <c r="L785" t="s">
        <v>55</v>
      </c>
      <c r="M785" t="s">
        <v>1858</v>
      </c>
    </row>
    <row r="786" spans="1:13" ht="15" customHeight="1" x14ac:dyDescent="0.25">
      <c r="A786" t="s">
        <v>1864</v>
      </c>
      <c r="B786" t="s">
        <v>327</v>
      </c>
      <c r="C786">
        <v>543597</v>
      </c>
      <c r="D786" t="s">
        <v>1528</v>
      </c>
      <c r="E786" t="s">
        <v>1529</v>
      </c>
      <c r="F786" t="s">
        <v>1530</v>
      </c>
      <c r="G786" t="s">
        <v>1531</v>
      </c>
      <c r="H786" t="s">
        <v>999</v>
      </c>
      <c r="I786" t="s">
        <v>1428</v>
      </c>
      <c r="J786" t="s">
        <v>609</v>
      </c>
      <c r="K786" t="s">
        <v>55</v>
      </c>
      <c r="L786" t="s">
        <v>55</v>
      </c>
      <c r="M786" t="s">
        <v>1421</v>
      </c>
    </row>
    <row r="787" spans="1:13" ht="15" customHeight="1" x14ac:dyDescent="0.25">
      <c r="A787" t="s">
        <v>1864</v>
      </c>
      <c r="B787" t="s">
        <v>327</v>
      </c>
      <c r="C787">
        <v>543669</v>
      </c>
      <c r="D787" t="s">
        <v>1532</v>
      </c>
      <c r="E787" t="s">
        <v>1533</v>
      </c>
      <c r="F787" t="s">
        <v>1534</v>
      </c>
      <c r="G787" t="s">
        <v>1535</v>
      </c>
      <c r="H787" t="s">
        <v>1481</v>
      </c>
      <c r="I787" t="s">
        <v>1428</v>
      </c>
      <c r="J787" t="s">
        <v>631</v>
      </c>
      <c r="K787" t="s">
        <v>55</v>
      </c>
      <c r="L787" t="s">
        <v>55</v>
      </c>
      <c r="M787" t="s">
        <v>1536</v>
      </c>
    </row>
    <row r="788" spans="1:13" ht="15" customHeight="1" x14ac:dyDescent="0.25">
      <c r="A788" t="s">
        <v>1864</v>
      </c>
      <c r="B788" t="s">
        <v>327</v>
      </c>
      <c r="C788">
        <v>543591</v>
      </c>
      <c r="D788" t="s">
        <v>1537</v>
      </c>
      <c r="E788" t="s">
        <v>1538</v>
      </c>
      <c r="F788" t="s">
        <v>1539</v>
      </c>
      <c r="G788" t="s">
        <v>1540</v>
      </c>
      <c r="H788" t="s">
        <v>999</v>
      </c>
      <c r="I788" t="s">
        <v>1428</v>
      </c>
      <c r="J788" t="s">
        <v>1541</v>
      </c>
      <c r="K788" t="s">
        <v>55</v>
      </c>
      <c r="L788" t="s">
        <v>55</v>
      </c>
      <c r="M788" t="s">
        <v>1448</v>
      </c>
    </row>
    <row r="789" spans="1:13" ht="15" customHeight="1" x14ac:dyDescent="0.25">
      <c r="A789" t="s">
        <v>1864</v>
      </c>
      <c r="B789" t="s">
        <v>327</v>
      </c>
      <c r="C789">
        <v>544113</v>
      </c>
      <c r="D789" t="s">
        <v>1036</v>
      </c>
      <c r="E789" t="s">
        <v>1064</v>
      </c>
      <c r="F789" t="s">
        <v>1859</v>
      </c>
      <c r="G789" t="s">
        <v>1860</v>
      </c>
      <c r="H789" t="s">
        <v>999</v>
      </c>
      <c r="I789" t="s">
        <v>1428</v>
      </c>
      <c r="J789" t="s">
        <v>777</v>
      </c>
      <c r="K789" t="s">
        <v>55</v>
      </c>
      <c r="L789" t="s">
        <v>55</v>
      </c>
      <c r="M789" t="s">
        <v>1503</v>
      </c>
    </row>
    <row r="790" spans="1:13" ht="15" customHeight="1" x14ac:dyDescent="0.25">
      <c r="A790" t="s">
        <v>1864</v>
      </c>
      <c r="B790" t="s">
        <v>327</v>
      </c>
      <c r="C790">
        <v>543608</v>
      </c>
      <c r="D790" t="s">
        <v>1543</v>
      </c>
      <c r="E790" t="s">
        <v>1544</v>
      </c>
      <c r="F790" t="s">
        <v>1545</v>
      </c>
      <c r="G790" t="s">
        <v>1546</v>
      </c>
      <c r="H790" t="s">
        <v>999</v>
      </c>
      <c r="I790" t="s">
        <v>1428</v>
      </c>
      <c r="J790" t="s">
        <v>927</v>
      </c>
      <c r="K790" t="s">
        <v>55</v>
      </c>
      <c r="L790" t="s">
        <v>55</v>
      </c>
      <c r="M790" t="s">
        <v>1547</v>
      </c>
    </row>
    <row r="791" spans="1:13" ht="15" customHeight="1" x14ac:dyDescent="0.25">
      <c r="A791" t="s">
        <v>1864</v>
      </c>
      <c r="B791" t="s">
        <v>327</v>
      </c>
      <c r="C791">
        <v>543600</v>
      </c>
      <c r="D791" t="s">
        <v>1543</v>
      </c>
      <c r="E791" t="s">
        <v>1548</v>
      </c>
      <c r="F791" t="s">
        <v>1549</v>
      </c>
      <c r="G791" t="s">
        <v>1550</v>
      </c>
      <c r="H791" t="s">
        <v>999</v>
      </c>
      <c r="I791" t="s">
        <v>1428</v>
      </c>
      <c r="J791" t="s">
        <v>1551</v>
      </c>
      <c r="K791" t="s">
        <v>55</v>
      </c>
      <c r="L791" t="s">
        <v>55</v>
      </c>
      <c r="M791" t="s">
        <v>1552</v>
      </c>
    </row>
    <row r="792" spans="1:13" ht="15" customHeight="1" x14ac:dyDescent="0.25">
      <c r="A792" t="s">
        <v>1864</v>
      </c>
      <c r="B792" t="s">
        <v>327</v>
      </c>
      <c r="C792">
        <v>543513</v>
      </c>
      <c r="D792" t="s">
        <v>1046</v>
      </c>
      <c r="E792" t="s">
        <v>1047</v>
      </c>
      <c r="F792" t="s">
        <v>1048</v>
      </c>
      <c r="G792" t="s">
        <v>1049</v>
      </c>
      <c r="H792" t="s">
        <v>1050</v>
      </c>
      <c r="I792" t="s">
        <v>1428</v>
      </c>
      <c r="J792" t="s">
        <v>1051</v>
      </c>
      <c r="K792" t="s">
        <v>55</v>
      </c>
      <c r="L792" t="s">
        <v>55</v>
      </c>
      <c r="M792" t="s">
        <v>1553</v>
      </c>
    </row>
    <row r="793" spans="1:13" ht="15" customHeight="1" x14ac:dyDescent="0.25">
      <c r="A793" t="s">
        <v>1864</v>
      </c>
      <c r="B793" t="s">
        <v>327</v>
      </c>
      <c r="C793">
        <v>544088</v>
      </c>
      <c r="D793" t="s">
        <v>1554</v>
      </c>
      <c r="E793" t="s">
        <v>1555</v>
      </c>
      <c r="F793" t="s">
        <v>1556</v>
      </c>
      <c r="G793" t="s">
        <v>1557</v>
      </c>
      <c r="H793" t="s">
        <v>1481</v>
      </c>
      <c r="I793" t="s">
        <v>1428</v>
      </c>
      <c r="J793" t="s">
        <v>620</v>
      </c>
      <c r="K793" t="s">
        <v>55</v>
      </c>
      <c r="L793" t="s">
        <v>55</v>
      </c>
      <c r="M793" t="s">
        <v>1861</v>
      </c>
    </row>
    <row r="794" spans="1:13" ht="15" customHeight="1" x14ac:dyDescent="0.25">
      <c r="A794" t="s">
        <v>1864</v>
      </c>
      <c r="B794" t="s">
        <v>327</v>
      </c>
      <c r="C794">
        <v>544093</v>
      </c>
      <c r="D794" t="s">
        <v>1559</v>
      </c>
      <c r="E794" t="s">
        <v>1560</v>
      </c>
      <c r="F794" t="s">
        <v>1561</v>
      </c>
      <c r="G794" t="s">
        <v>1562</v>
      </c>
      <c r="H794" t="s">
        <v>999</v>
      </c>
      <c r="I794" t="s">
        <v>1428</v>
      </c>
      <c r="J794" t="s">
        <v>637</v>
      </c>
      <c r="K794" t="s">
        <v>55</v>
      </c>
      <c r="L794" t="s">
        <v>55</v>
      </c>
      <c r="M794" t="s">
        <v>1862</v>
      </c>
    </row>
    <row r="795" spans="1:13" ht="15" customHeight="1" x14ac:dyDescent="0.25">
      <c r="A795" t="s">
        <v>1864</v>
      </c>
      <c r="B795" t="s">
        <v>327</v>
      </c>
      <c r="C795">
        <v>544092</v>
      </c>
      <c r="D795" t="s">
        <v>1564</v>
      </c>
      <c r="E795" t="s">
        <v>1565</v>
      </c>
      <c r="F795" t="s">
        <v>1566</v>
      </c>
      <c r="G795" t="s">
        <v>1567</v>
      </c>
      <c r="H795" t="s">
        <v>999</v>
      </c>
      <c r="I795" t="s">
        <v>1428</v>
      </c>
      <c r="J795" t="s">
        <v>1568</v>
      </c>
      <c r="K795" t="s">
        <v>55</v>
      </c>
      <c r="L795" t="s">
        <v>55</v>
      </c>
      <c r="M795" t="s">
        <v>1569</v>
      </c>
    </row>
    <row r="796" spans="1:13" ht="15" customHeight="1" x14ac:dyDescent="0.25">
      <c r="A796" t="s">
        <v>1864</v>
      </c>
      <c r="B796" t="s">
        <v>327</v>
      </c>
      <c r="C796">
        <v>543811</v>
      </c>
      <c r="D796" t="s">
        <v>1570</v>
      </c>
      <c r="E796" t="s">
        <v>1571</v>
      </c>
      <c r="F796" t="s">
        <v>1572</v>
      </c>
      <c r="G796" t="s">
        <v>1573</v>
      </c>
      <c r="H796" t="s">
        <v>1464</v>
      </c>
      <c r="I796" t="s">
        <v>1428</v>
      </c>
      <c r="J796" t="s">
        <v>615</v>
      </c>
      <c r="K796" t="s">
        <v>55</v>
      </c>
      <c r="L796" t="s">
        <v>55</v>
      </c>
      <c r="M796" t="s">
        <v>1612</v>
      </c>
    </row>
    <row r="797" spans="1:13" ht="15" customHeight="1" x14ac:dyDescent="0.25">
      <c r="A797" t="s">
        <v>1864</v>
      </c>
      <c r="B797" t="s">
        <v>327</v>
      </c>
      <c r="C797">
        <v>544109</v>
      </c>
      <c r="D797" t="s">
        <v>1829</v>
      </c>
      <c r="E797" t="s">
        <v>891</v>
      </c>
      <c r="F797" t="s">
        <v>892</v>
      </c>
      <c r="G797" t="s">
        <v>893</v>
      </c>
      <c r="H797" t="s">
        <v>1830</v>
      </c>
      <c r="I797" t="s">
        <v>1428</v>
      </c>
      <c r="J797" t="s">
        <v>660</v>
      </c>
      <c r="K797" t="s">
        <v>55</v>
      </c>
      <c r="L797" t="s">
        <v>55</v>
      </c>
      <c r="M797" t="s">
        <v>1476</v>
      </c>
    </row>
    <row r="798" spans="1:13" ht="15" customHeight="1" x14ac:dyDescent="0.25">
      <c r="A798" t="s">
        <v>1864</v>
      </c>
      <c r="B798" t="s">
        <v>327</v>
      </c>
      <c r="C798">
        <v>543712</v>
      </c>
      <c r="D798" t="s">
        <v>1574</v>
      </c>
      <c r="E798" t="s">
        <v>1575</v>
      </c>
      <c r="F798" t="s">
        <v>1576</v>
      </c>
      <c r="G798" t="s">
        <v>1577</v>
      </c>
      <c r="H798" t="s">
        <v>1199</v>
      </c>
      <c r="I798" t="s">
        <v>1428</v>
      </c>
      <c r="J798" t="s">
        <v>631</v>
      </c>
      <c r="K798" t="s">
        <v>55</v>
      </c>
      <c r="L798" t="s">
        <v>55</v>
      </c>
      <c r="M798" t="s">
        <v>1639</v>
      </c>
    </row>
    <row r="799" spans="1:13" ht="15" customHeight="1" x14ac:dyDescent="0.25">
      <c r="A799" t="s">
        <v>1864</v>
      </c>
      <c r="B799" t="s">
        <v>327</v>
      </c>
      <c r="C799">
        <v>543658</v>
      </c>
      <c r="D799" t="s">
        <v>1578</v>
      </c>
      <c r="E799" t="s">
        <v>891</v>
      </c>
      <c r="F799" t="s">
        <v>1579</v>
      </c>
      <c r="G799" t="s">
        <v>1580</v>
      </c>
      <c r="H799" t="s">
        <v>1008</v>
      </c>
      <c r="I799" t="s">
        <v>1428</v>
      </c>
      <c r="J799" t="s">
        <v>715</v>
      </c>
      <c r="K799" t="s">
        <v>55</v>
      </c>
      <c r="L799" t="s">
        <v>55</v>
      </c>
      <c r="M799" t="s">
        <v>1581</v>
      </c>
    </row>
    <row r="800" spans="1:13" ht="15" customHeight="1" x14ac:dyDescent="0.25">
      <c r="A800" t="s">
        <v>1864</v>
      </c>
      <c r="B800" t="s">
        <v>327</v>
      </c>
      <c r="C800">
        <v>543657</v>
      </c>
      <c r="D800" t="s">
        <v>1582</v>
      </c>
      <c r="E800" t="s">
        <v>1583</v>
      </c>
      <c r="F800" t="s">
        <v>1584</v>
      </c>
      <c r="G800" t="s">
        <v>1585</v>
      </c>
      <c r="H800" t="s">
        <v>911</v>
      </c>
      <c r="I800" t="s">
        <v>1428</v>
      </c>
      <c r="J800" t="s">
        <v>631</v>
      </c>
      <c r="K800" t="s">
        <v>55</v>
      </c>
      <c r="L800" t="s">
        <v>55</v>
      </c>
      <c r="M800" t="s">
        <v>1586</v>
      </c>
    </row>
    <row r="801" spans="1:13" ht="15" customHeight="1" x14ac:dyDescent="0.25">
      <c r="A801" t="s">
        <v>1864</v>
      </c>
      <c r="B801" t="s">
        <v>327</v>
      </c>
      <c r="C801">
        <v>543656</v>
      </c>
      <c r="D801" t="s">
        <v>1587</v>
      </c>
      <c r="E801" t="s">
        <v>1588</v>
      </c>
      <c r="F801" t="s">
        <v>1589</v>
      </c>
      <c r="G801" t="s">
        <v>1590</v>
      </c>
      <c r="H801" t="s">
        <v>911</v>
      </c>
      <c r="I801" t="s">
        <v>1428</v>
      </c>
      <c r="J801" t="s">
        <v>631</v>
      </c>
      <c r="K801" t="s">
        <v>55</v>
      </c>
      <c r="L801" t="s">
        <v>55</v>
      </c>
      <c r="M801" t="s">
        <v>1586</v>
      </c>
    </row>
    <row r="802" spans="1:13" ht="15" customHeight="1" x14ac:dyDescent="0.25">
      <c r="A802" t="s">
        <v>1864</v>
      </c>
      <c r="B802" t="s">
        <v>327</v>
      </c>
      <c r="C802">
        <v>543514</v>
      </c>
      <c r="D802" t="s">
        <v>1162</v>
      </c>
      <c r="E802" t="s">
        <v>1163</v>
      </c>
      <c r="F802" t="s">
        <v>1164</v>
      </c>
      <c r="G802" t="s">
        <v>1165</v>
      </c>
      <c r="H802" t="s">
        <v>999</v>
      </c>
      <c r="I802" t="s">
        <v>1428</v>
      </c>
      <c r="J802" t="s">
        <v>596</v>
      </c>
      <c r="K802" t="s">
        <v>55</v>
      </c>
      <c r="L802" t="s">
        <v>55</v>
      </c>
      <c r="M802" t="s">
        <v>1863</v>
      </c>
    </row>
    <row r="803" spans="1:13" ht="15" customHeight="1" x14ac:dyDescent="0.25">
      <c r="A803" t="s">
        <v>1864</v>
      </c>
      <c r="B803" t="s">
        <v>327</v>
      </c>
      <c r="C803">
        <v>543661</v>
      </c>
      <c r="D803" t="s">
        <v>1592</v>
      </c>
      <c r="E803" t="s">
        <v>1593</v>
      </c>
      <c r="F803" t="s">
        <v>1594</v>
      </c>
      <c r="G803" t="s">
        <v>1595</v>
      </c>
      <c r="H803" t="s">
        <v>1596</v>
      </c>
      <c r="I803" t="s">
        <v>1428</v>
      </c>
      <c r="J803" t="s">
        <v>603</v>
      </c>
      <c r="K803" t="s">
        <v>55</v>
      </c>
      <c r="L803" t="s">
        <v>55</v>
      </c>
      <c r="M803" t="s">
        <v>1597</v>
      </c>
    </row>
    <row r="804" spans="1:13" ht="15" customHeight="1" x14ac:dyDescent="0.25">
      <c r="A804" t="s">
        <v>1864</v>
      </c>
      <c r="B804" t="s">
        <v>327</v>
      </c>
      <c r="C804">
        <v>543501</v>
      </c>
      <c r="D804" t="s">
        <v>1598</v>
      </c>
      <c r="E804" t="s">
        <v>1599</v>
      </c>
      <c r="F804" t="s">
        <v>1600</v>
      </c>
      <c r="G804" t="s">
        <v>1601</v>
      </c>
      <c r="H804" t="s">
        <v>999</v>
      </c>
      <c r="I804" t="s">
        <v>1428</v>
      </c>
      <c r="J804" t="s">
        <v>615</v>
      </c>
      <c r="K804" t="s">
        <v>55</v>
      </c>
      <c r="L804" t="s">
        <v>55</v>
      </c>
      <c r="M804" t="s">
        <v>1465</v>
      </c>
    </row>
    <row r="805" spans="1:13" ht="15" customHeight="1" x14ac:dyDescent="0.25">
      <c r="A805" t="s">
        <v>1864</v>
      </c>
      <c r="B805" t="s">
        <v>327</v>
      </c>
      <c r="C805">
        <v>543594</v>
      </c>
      <c r="D805" t="s">
        <v>1603</v>
      </c>
      <c r="E805" t="s">
        <v>1604</v>
      </c>
      <c r="F805" t="s">
        <v>1605</v>
      </c>
      <c r="G805" t="s">
        <v>1606</v>
      </c>
      <c r="H805" t="s">
        <v>1377</v>
      </c>
      <c r="I805" t="s">
        <v>1428</v>
      </c>
      <c r="J805" t="s">
        <v>631</v>
      </c>
      <c r="K805" t="s">
        <v>55</v>
      </c>
      <c r="L805" t="s">
        <v>55</v>
      </c>
      <c r="M805" t="s">
        <v>1607</v>
      </c>
    </row>
    <row r="806" spans="1:13" ht="15" customHeight="1" x14ac:dyDescent="0.25">
      <c r="A806" t="s">
        <v>1864</v>
      </c>
      <c r="B806" t="s">
        <v>327</v>
      </c>
      <c r="C806">
        <v>544095</v>
      </c>
      <c r="D806" t="s">
        <v>1608</v>
      </c>
      <c r="E806" t="s">
        <v>1609</v>
      </c>
      <c r="F806" t="s">
        <v>1610</v>
      </c>
      <c r="G806" t="s">
        <v>1611</v>
      </c>
      <c r="H806" t="s">
        <v>999</v>
      </c>
      <c r="I806" t="s">
        <v>1428</v>
      </c>
      <c r="J806" t="s">
        <v>751</v>
      </c>
      <c r="K806" t="s">
        <v>55</v>
      </c>
      <c r="L806" t="s">
        <v>55</v>
      </c>
      <c r="M806" t="s">
        <v>1454</v>
      </c>
    </row>
    <row r="807" spans="1:13" ht="15" customHeight="1" x14ac:dyDescent="0.25">
      <c r="A807" t="s">
        <v>1864</v>
      </c>
      <c r="B807" t="s">
        <v>327</v>
      </c>
      <c r="C807">
        <v>543504</v>
      </c>
      <c r="D807" t="s">
        <v>1613</v>
      </c>
      <c r="E807" t="s">
        <v>1614</v>
      </c>
      <c r="F807" t="s">
        <v>1615</v>
      </c>
      <c r="G807" t="s">
        <v>1616</v>
      </c>
      <c r="H807" t="s">
        <v>1199</v>
      </c>
      <c r="I807" t="s">
        <v>1428</v>
      </c>
      <c r="J807" t="s">
        <v>620</v>
      </c>
      <c r="K807" t="s">
        <v>55</v>
      </c>
      <c r="L807" t="s">
        <v>55</v>
      </c>
      <c r="M807" t="s">
        <v>1617</v>
      </c>
    </row>
    <row r="808" spans="1:13" ht="15" customHeight="1" x14ac:dyDescent="0.25">
      <c r="A808" t="s">
        <v>1864</v>
      </c>
      <c r="B808" t="s">
        <v>327</v>
      </c>
      <c r="C808">
        <v>543508</v>
      </c>
      <c r="D808" t="s">
        <v>1409</v>
      </c>
      <c r="E808" t="s">
        <v>1618</v>
      </c>
      <c r="F808" t="s">
        <v>1619</v>
      </c>
      <c r="G808" t="s">
        <v>1620</v>
      </c>
      <c r="H808" t="s">
        <v>1199</v>
      </c>
      <c r="I808" t="s">
        <v>1428</v>
      </c>
      <c r="J808" t="s">
        <v>1621</v>
      </c>
      <c r="K808" t="s">
        <v>55</v>
      </c>
      <c r="L808" t="s">
        <v>55</v>
      </c>
      <c r="M808" t="s">
        <v>1622</v>
      </c>
    </row>
    <row r="809" spans="1:13" ht="15" customHeight="1" x14ac:dyDescent="0.25">
      <c r="A809" t="s">
        <v>1864</v>
      </c>
      <c r="B809" t="s">
        <v>327</v>
      </c>
      <c r="C809">
        <v>543510</v>
      </c>
      <c r="D809" t="s">
        <v>1623</v>
      </c>
      <c r="E809" t="s">
        <v>1627</v>
      </c>
      <c r="F809" t="s">
        <v>1628</v>
      </c>
      <c r="G809" t="s">
        <v>1629</v>
      </c>
      <c r="H809" t="s">
        <v>1475</v>
      </c>
      <c r="I809" t="s">
        <v>1428</v>
      </c>
      <c r="J809" t="s">
        <v>620</v>
      </c>
      <c r="K809" t="s">
        <v>55</v>
      </c>
      <c r="L809" t="s">
        <v>55</v>
      </c>
      <c r="M809" t="s">
        <v>1617</v>
      </c>
    </row>
    <row r="810" spans="1:13" ht="15" customHeight="1" x14ac:dyDescent="0.25">
      <c r="A810" t="s">
        <v>1864</v>
      </c>
      <c r="B810" t="s">
        <v>327</v>
      </c>
      <c r="C810">
        <v>543505</v>
      </c>
      <c r="D810" t="s">
        <v>1623</v>
      </c>
      <c r="E810" t="s">
        <v>1624</v>
      </c>
      <c r="F810" t="s">
        <v>1625</v>
      </c>
      <c r="G810" t="s">
        <v>1626</v>
      </c>
      <c r="H810" t="s">
        <v>1475</v>
      </c>
      <c r="I810" t="s">
        <v>1428</v>
      </c>
      <c r="J810" t="s">
        <v>620</v>
      </c>
      <c r="K810" t="s">
        <v>55</v>
      </c>
      <c r="L810" t="s">
        <v>55</v>
      </c>
      <c r="M810" t="s">
        <v>1547</v>
      </c>
    </row>
    <row r="811" spans="1:13" ht="15" customHeight="1" x14ac:dyDescent="0.25">
      <c r="A811" t="s">
        <v>1864</v>
      </c>
      <c r="B811" t="s">
        <v>327</v>
      </c>
      <c r="C811">
        <v>543660</v>
      </c>
      <c r="D811" t="s">
        <v>1630</v>
      </c>
      <c r="E811" t="s">
        <v>1631</v>
      </c>
      <c r="F811" t="s">
        <v>1632</v>
      </c>
      <c r="G811" t="s">
        <v>1633</v>
      </c>
      <c r="H811" t="s">
        <v>1199</v>
      </c>
      <c r="I811" t="s">
        <v>1428</v>
      </c>
      <c r="J811" t="s">
        <v>620</v>
      </c>
      <c r="K811" t="s">
        <v>55</v>
      </c>
      <c r="L811" t="s">
        <v>55</v>
      </c>
      <c r="M811" t="s">
        <v>1634</v>
      </c>
    </row>
    <row r="812" spans="1:13" ht="15" customHeight="1" x14ac:dyDescent="0.25">
      <c r="A812" t="s">
        <v>1864</v>
      </c>
      <c r="B812" t="s">
        <v>327</v>
      </c>
      <c r="C812">
        <v>544094</v>
      </c>
      <c r="D812" t="s">
        <v>1635</v>
      </c>
      <c r="E812" t="s">
        <v>1636</v>
      </c>
      <c r="F812" t="s">
        <v>1637</v>
      </c>
      <c r="G812" t="s">
        <v>1638</v>
      </c>
      <c r="H812" t="s">
        <v>999</v>
      </c>
      <c r="I812" t="s">
        <v>1428</v>
      </c>
      <c r="J812" t="s">
        <v>631</v>
      </c>
      <c r="K812" t="s">
        <v>55</v>
      </c>
      <c r="L812" t="s">
        <v>55</v>
      </c>
      <c r="M812" t="s">
        <v>1639</v>
      </c>
    </row>
    <row r="813" spans="1:13" ht="15" customHeight="1" x14ac:dyDescent="0.25">
      <c r="A813" t="s">
        <v>1864</v>
      </c>
      <c r="B813" t="s">
        <v>327</v>
      </c>
      <c r="C813">
        <v>543515</v>
      </c>
      <c r="D813" t="s">
        <v>1288</v>
      </c>
      <c r="E813" t="s">
        <v>1289</v>
      </c>
      <c r="F813" t="s">
        <v>1290</v>
      </c>
      <c r="G813" t="s">
        <v>1291</v>
      </c>
      <c r="H813" t="s">
        <v>803</v>
      </c>
      <c r="I813" t="s">
        <v>1428</v>
      </c>
      <c r="J813" t="s">
        <v>927</v>
      </c>
      <c r="K813" t="s">
        <v>55</v>
      </c>
      <c r="L813" t="s">
        <v>55</v>
      </c>
      <c r="M813" t="s">
        <v>1640</v>
      </c>
    </row>
    <row r="814" spans="1:13" ht="15" customHeight="1" x14ac:dyDescent="0.25">
      <c r="A814" t="s">
        <v>1864</v>
      </c>
      <c r="B814" t="s">
        <v>327</v>
      </c>
      <c r="C814">
        <v>543516</v>
      </c>
      <c r="D814" t="s">
        <v>1641</v>
      </c>
      <c r="E814" t="s">
        <v>1642</v>
      </c>
      <c r="F814" t="s">
        <v>1643</v>
      </c>
      <c r="G814" t="s">
        <v>1644</v>
      </c>
      <c r="H814" t="s">
        <v>999</v>
      </c>
      <c r="I814" t="s">
        <v>1428</v>
      </c>
      <c r="J814" t="s">
        <v>1645</v>
      </c>
      <c r="K814" t="s">
        <v>55</v>
      </c>
      <c r="L814" t="s">
        <v>55</v>
      </c>
      <c r="M814" t="s">
        <v>1421</v>
      </c>
    </row>
    <row r="815" spans="1:13" ht="15" customHeight="1" x14ac:dyDescent="0.25">
      <c r="A815" t="s">
        <v>1870</v>
      </c>
      <c r="B815" t="s">
        <v>293</v>
      </c>
      <c r="C815">
        <v>544068</v>
      </c>
      <c r="D815" t="s">
        <v>1310</v>
      </c>
      <c r="E815" t="s">
        <v>1311</v>
      </c>
      <c r="F815" t="s">
        <v>1312</v>
      </c>
      <c r="G815" t="s">
        <v>1313</v>
      </c>
      <c r="H815" t="s">
        <v>1314</v>
      </c>
      <c r="I815" t="s">
        <v>1314</v>
      </c>
      <c r="J815" t="s">
        <v>770</v>
      </c>
      <c r="K815" t="s">
        <v>55</v>
      </c>
      <c r="L815" t="s">
        <v>55</v>
      </c>
      <c r="M815" t="s">
        <v>1315</v>
      </c>
    </row>
    <row r="816" spans="1:13" ht="15" customHeight="1" x14ac:dyDescent="0.25">
      <c r="A816" t="s">
        <v>1870</v>
      </c>
      <c r="B816" t="s">
        <v>293</v>
      </c>
      <c r="C816">
        <v>544148</v>
      </c>
      <c r="D816" t="s">
        <v>1871</v>
      </c>
      <c r="E816" t="s">
        <v>1872</v>
      </c>
      <c r="F816" t="s">
        <v>1873</v>
      </c>
      <c r="G816" t="s">
        <v>1874</v>
      </c>
      <c r="H816" t="s">
        <v>1319</v>
      </c>
      <c r="I816" t="s">
        <v>1319</v>
      </c>
      <c r="J816" t="s">
        <v>715</v>
      </c>
      <c r="K816" t="s">
        <v>55</v>
      </c>
      <c r="L816" t="s">
        <v>55</v>
      </c>
      <c r="M816" t="s">
        <v>1845</v>
      </c>
    </row>
    <row r="817" spans="1:13" ht="15" customHeight="1" x14ac:dyDescent="0.25">
      <c r="A817" t="s">
        <v>1870</v>
      </c>
      <c r="B817" t="s">
        <v>293</v>
      </c>
      <c r="C817">
        <v>544115</v>
      </c>
      <c r="D817" t="s">
        <v>1835</v>
      </c>
      <c r="E817" t="s">
        <v>732</v>
      </c>
      <c r="F817" t="s">
        <v>1836</v>
      </c>
      <c r="G817" t="s">
        <v>1837</v>
      </c>
      <c r="H817" t="s">
        <v>1838</v>
      </c>
      <c r="I817" t="s">
        <v>1838</v>
      </c>
      <c r="J817" t="s">
        <v>1839</v>
      </c>
      <c r="K817" t="s">
        <v>55</v>
      </c>
      <c r="L817" t="s">
        <v>55</v>
      </c>
      <c r="M817" t="s">
        <v>1315</v>
      </c>
    </row>
    <row r="818" spans="1:13" ht="15" customHeight="1" x14ac:dyDescent="0.25">
      <c r="A818" t="s">
        <v>1870</v>
      </c>
      <c r="B818" t="s">
        <v>293</v>
      </c>
      <c r="C818">
        <v>544072</v>
      </c>
      <c r="D818" t="s">
        <v>1840</v>
      </c>
      <c r="E818" t="s">
        <v>1841</v>
      </c>
      <c r="F818" t="s">
        <v>1842</v>
      </c>
      <c r="G818" t="s">
        <v>1843</v>
      </c>
      <c r="H818" t="s">
        <v>1319</v>
      </c>
      <c r="I818" t="s">
        <v>1319</v>
      </c>
      <c r="J818" t="s">
        <v>1844</v>
      </c>
      <c r="K818" t="s">
        <v>55</v>
      </c>
      <c r="L818" t="s">
        <v>55</v>
      </c>
      <c r="M818" t="s">
        <v>1845</v>
      </c>
    </row>
    <row r="819" spans="1:13" ht="15" customHeight="1" x14ac:dyDescent="0.25">
      <c r="A819" t="s">
        <v>1870</v>
      </c>
      <c r="B819" t="s">
        <v>293</v>
      </c>
      <c r="C819">
        <v>544048</v>
      </c>
      <c r="D819" t="s">
        <v>1316</v>
      </c>
      <c r="E819" t="s">
        <v>1149</v>
      </c>
      <c r="F819" t="s">
        <v>1317</v>
      </c>
      <c r="G819" t="s">
        <v>1318</v>
      </c>
      <c r="H819" t="s">
        <v>1319</v>
      </c>
      <c r="I819" t="s">
        <v>1319</v>
      </c>
      <c r="J819" t="s">
        <v>1320</v>
      </c>
      <c r="K819" t="s">
        <v>55</v>
      </c>
      <c r="L819" t="s">
        <v>55</v>
      </c>
      <c r="M819" t="s">
        <v>1315</v>
      </c>
    </row>
    <row r="820" spans="1:13" ht="15" customHeight="1" x14ac:dyDescent="0.25">
      <c r="A820" t="s">
        <v>1875</v>
      </c>
      <c r="B820" t="s">
        <v>399</v>
      </c>
      <c r="C820">
        <v>544071</v>
      </c>
      <c r="D820" t="s">
        <v>1876</v>
      </c>
      <c r="E820" t="s">
        <v>1877</v>
      </c>
      <c r="F820" t="s">
        <v>1878</v>
      </c>
      <c r="G820" t="s">
        <v>1879</v>
      </c>
      <c r="H820" t="s">
        <v>1880</v>
      </c>
      <c r="I820" t="s">
        <v>1880</v>
      </c>
      <c r="J820" t="s">
        <v>689</v>
      </c>
      <c r="K820" t="s">
        <v>55</v>
      </c>
      <c r="L820" t="s">
        <v>55</v>
      </c>
      <c r="M820" t="s">
        <v>1881</v>
      </c>
    </row>
    <row r="821" spans="1:13" ht="15" customHeight="1" x14ac:dyDescent="0.25">
      <c r="A821" t="s">
        <v>1875</v>
      </c>
      <c r="B821" t="s">
        <v>399</v>
      </c>
      <c r="C821">
        <v>544070</v>
      </c>
      <c r="D821" t="s">
        <v>1882</v>
      </c>
      <c r="E821" t="s">
        <v>1883</v>
      </c>
      <c r="F821" t="s">
        <v>1884</v>
      </c>
      <c r="G821" t="s">
        <v>1885</v>
      </c>
      <c r="H821" t="s">
        <v>1880</v>
      </c>
      <c r="I821" t="s">
        <v>1880</v>
      </c>
      <c r="J821" t="s">
        <v>1305</v>
      </c>
      <c r="K821" t="s">
        <v>55</v>
      </c>
      <c r="L821" t="s">
        <v>55</v>
      </c>
      <c r="M821" t="s">
        <v>1886</v>
      </c>
    </row>
    <row r="822" spans="1:13" ht="15" customHeight="1" x14ac:dyDescent="0.25">
      <c r="A822" t="s">
        <v>1875</v>
      </c>
      <c r="B822" t="s">
        <v>399</v>
      </c>
      <c r="C822">
        <v>544111</v>
      </c>
      <c r="D822" t="s">
        <v>1887</v>
      </c>
      <c r="E822" t="s">
        <v>1888</v>
      </c>
      <c r="F822" t="s">
        <v>1889</v>
      </c>
      <c r="G822" t="s">
        <v>1890</v>
      </c>
      <c r="H822" t="s">
        <v>1891</v>
      </c>
      <c r="I822" t="s">
        <v>1891</v>
      </c>
      <c r="J822" t="s">
        <v>1892</v>
      </c>
      <c r="K822" t="s">
        <v>55</v>
      </c>
      <c r="L822" t="s">
        <v>55</v>
      </c>
      <c r="M822" t="s">
        <v>1893</v>
      </c>
    </row>
    <row r="823" spans="1:13" ht="15" customHeight="1" x14ac:dyDescent="0.25">
      <c r="A823" t="s">
        <v>1875</v>
      </c>
      <c r="B823" t="s">
        <v>399</v>
      </c>
      <c r="C823">
        <v>544110</v>
      </c>
      <c r="D823" t="s">
        <v>1894</v>
      </c>
      <c r="E823" t="s">
        <v>1895</v>
      </c>
      <c r="F823" t="s">
        <v>1896</v>
      </c>
      <c r="G823" t="s">
        <v>1897</v>
      </c>
      <c r="H823" t="s">
        <v>1880</v>
      </c>
      <c r="I823" t="s">
        <v>1880</v>
      </c>
      <c r="J823" t="s">
        <v>1898</v>
      </c>
      <c r="K823" t="s">
        <v>55</v>
      </c>
      <c r="L823" t="s">
        <v>55</v>
      </c>
      <c r="M823" t="s">
        <v>1899</v>
      </c>
    </row>
    <row r="824" spans="1:13" ht="15" customHeight="1" x14ac:dyDescent="0.25">
      <c r="A824" t="s">
        <v>1875</v>
      </c>
      <c r="B824" t="s">
        <v>399</v>
      </c>
      <c r="C824">
        <v>544129</v>
      </c>
      <c r="D824" t="s">
        <v>1900</v>
      </c>
      <c r="E824" t="s">
        <v>1901</v>
      </c>
      <c r="F824" t="s">
        <v>1902</v>
      </c>
      <c r="G824" t="s">
        <v>1903</v>
      </c>
      <c r="H824" t="s">
        <v>763</v>
      </c>
      <c r="I824" t="s">
        <v>763</v>
      </c>
      <c r="J824" t="s">
        <v>1904</v>
      </c>
      <c r="K824" t="s">
        <v>55</v>
      </c>
      <c r="L824" t="s">
        <v>55</v>
      </c>
      <c r="M824" t="s">
        <v>1597</v>
      </c>
    </row>
    <row r="825" spans="1:13" ht="15" customHeight="1" x14ac:dyDescent="0.25">
      <c r="A825" t="s">
        <v>1875</v>
      </c>
      <c r="B825" t="s">
        <v>399</v>
      </c>
      <c r="C825">
        <v>544098</v>
      </c>
      <c r="D825" t="s">
        <v>1905</v>
      </c>
      <c r="E825" t="s">
        <v>1906</v>
      </c>
      <c r="F825" t="s">
        <v>1907</v>
      </c>
      <c r="G825" t="s">
        <v>1908</v>
      </c>
      <c r="H825" t="s">
        <v>1880</v>
      </c>
      <c r="I825" t="s">
        <v>1880</v>
      </c>
      <c r="J825" t="s">
        <v>660</v>
      </c>
      <c r="K825" t="s">
        <v>55</v>
      </c>
      <c r="L825" t="s">
        <v>55</v>
      </c>
      <c r="M825" t="s">
        <v>1597</v>
      </c>
    </row>
    <row r="826" spans="1:13" ht="15" customHeight="1" x14ac:dyDescent="0.25">
      <c r="A826" t="s">
        <v>1875</v>
      </c>
      <c r="B826" t="s">
        <v>399</v>
      </c>
      <c r="C826">
        <v>544112</v>
      </c>
      <c r="D826" t="s">
        <v>1909</v>
      </c>
      <c r="E826" t="s">
        <v>1910</v>
      </c>
      <c r="F826" t="s">
        <v>1911</v>
      </c>
      <c r="G826" t="s">
        <v>1912</v>
      </c>
      <c r="H826" t="s">
        <v>1891</v>
      </c>
      <c r="I826" t="s">
        <v>1891</v>
      </c>
      <c r="J826" t="s">
        <v>631</v>
      </c>
      <c r="K826" t="s">
        <v>55</v>
      </c>
      <c r="L826" t="s">
        <v>55</v>
      </c>
      <c r="M826" t="s">
        <v>1421</v>
      </c>
    </row>
    <row r="827" spans="1:13" ht="15" customHeight="1" x14ac:dyDescent="0.25">
      <c r="A827" t="s">
        <v>1875</v>
      </c>
      <c r="B827" t="s">
        <v>399</v>
      </c>
      <c r="C827">
        <v>544096</v>
      </c>
      <c r="D827" t="s">
        <v>1913</v>
      </c>
      <c r="E827" t="s">
        <v>1914</v>
      </c>
      <c r="F827" t="s">
        <v>1915</v>
      </c>
      <c r="G827" t="s">
        <v>1916</v>
      </c>
      <c r="H827" t="s">
        <v>1891</v>
      </c>
      <c r="I827" t="s">
        <v>1891</v>
      </c>
      <c r="J827" t="s">
        <v>1305</v>
      </c>
      <c r="K827" t="s">
        <v>55</v>
      </c>
      <c r="L827" t="s">
        <v>55</v>
      </c>
      <c r="M827" t="s">
        <v>1419</v>
      </c>
    </row>
    <row r="828" spans="1:13" ht="15" customHeight="1" x14ac:dyDescent="0.25">
      <c r="A828" t="s">
        <v>1875</v>
      </c>
      <c r="B828" t="s">
        <v>399</v>
      </c>
      <c r="C828">
        <v>544097</v>
      </c>
      <c r="D828" t="s">
        <v>1917</v>
      </c>
      <c r="E828" t="s">
        <v>1918</v>
      </c>
      <c r="F828" t="s">
        <v>1919</v>
      </c>
      <c r="G828" t="s">
        <v>1920</v>
      </c>
      <c r="H828" t="s">
        <v>1891</v>
      </c>
      <c r="I828" t="s">
        <v>1891</v>
      </c>
      <c r="J828" t="s">
        <v>689</v>
      </c>
      <c r="K828" t="s">
        <v>55</v>
      </c>
      <c r="L828" t="s">
        <v>55</v>
      </c>
      <c r="M828" t="s">
        <v>1509</v>
      </c>
    </row>
    <row r="829" spans="1:13" ht="15" customHeight="1" x14ac:dyDescent="0.25">
      <c r="A829" t="s">
        <v>1921</v>
      </c>
      <c r="B829" t="s">
        <v>208</v>
      </c>
      <c r="C829">
        <v>543968</v>
      </c>
      <c r="D829" t="s">
        <v>1922</v>
      </c>
      <c r="E829" t="s">
        <v>1923</v>
      </c>
      <c r="F829" t="s">
        <v>1924</v>
      </c>
      <c r="G829" t="s">
        <v>1925</v>
      </c>
      <c r="H829" t="s">
        <v>68</v>
      </c>
      <c r="I829" t="s">
        <v>68</v>
      </c>
      <c r="J829" t="s">
        <v>853</v>
      </c>
      <c r="K829" t="s">
        <v>55</v>
      </c>
      <c r="L829" t="s">
        <v>55</v>
      </c>
      <c r="M829" t="s">
        <v>1926</v>
      </c>
    </row>
    <row r="830" spans="1:13" ht="15" customHeight="1" x14ac:dyDescent="0.25">
      <c r="A830" t="s">
        <v>1921</v>
      </c>
      <c r="B830" t="s">
        <v>208</v>
      </c>
      <c r="C830">
        <v>544089</v>
      </c>
      <c r="D830" t="s">
        <v>1927</v>
      </c>
      <c r="E830" t="s">
        <v>1928</v>
      </c>
      <c r="F830" t="s">
        <v>1929</v>
      </c>
      <c r="G830" t="s">
        <v>1930</v>
      </c>
      <c r="H830" t="s">
        <v>58</v>
      </c>
      <c r="I830" t="s">
        <v>58</v>
      </c>
      <c r="J830" t="s">
        <v>631</v>
      </c>
      <c r="K830" t="s">
        <v>55</v>
      </c>
      <c r="L830" t="s">
        <v>55</v>
      </c>
      <c r="M830" t="s">
        <v>1926</v>
      </c>
    </row>
    <row r="831" spans="1:13" ht="15" customHeight="1" x14ac:dyDescent="0.25">
      <c r="A831" t="s">
        <v>1921</v>
      </c>
      <c r="B831" t="s">
        <v>208</v>
      </c>
      <c r="C831">
        <v>544106</v>
      </c>
      <c r="D831" t="s">
        <v>1931</v>
      </c>
      <c r="E831" t="s">
        <v>1932</v>
      </c>
      <c r="F831" t="s">
        <v>1933</v>
      </c>
      <c r="G831" t="s">
        <v>1934</v>
      </c>
      <c r="H831" t="s">
        <v>58</v>
      </c>
      <c r="I831" t="s">
        <v>58</v>
      </c>
      <c r="J831" t="s">
        <v>660</v>
      </c>
      <c r="K831" t="s">
        <v>55</v>
      </c>
      <c r="L831" t="s">
        <v>55</v>
      </c>
      <c r="M831" t="s">
        <v>1926</v>
      </c>
    </row>
    <row r="832" spans="1:13" ht="15" customHeight="1" x14ac:dyDescent="0.25">
      <c r="A832" t="s">
        <v>1921</v>
      </c>
      <c r="B832" t="s">
        <v>208</v>
      </c>
      <c r="C832">
        <v>544107</v>
      </c>
      <c r="D832" t="s">
        <v>1935</v>
      </c>
      <c r="E832" t="s">
        <v>1936</v>
      </c>
      <c r="F832" t="s">
        <v>1937</v>
      </c>
      <c r="G832" t="s">
        <v>1938</v>
      </c>
      <c r="H832" t="s">
        <v>62</v>
      </c>
      <c r="I832" t="s">
        <v>62</v>
      </c>
      <c r="J832" t="s">
        <v>1263</v>
      </c>
      <c r="K832" t="s">
        <v>55</v>
      </c>
      <c r="L832" t="s">
        <v>55</v>
      </c>
      <c r="M832" t="s">
        <v>1926</v>
      </c>
    </row>
    <row r="833" spans="1:13" ht="15" customHeight="1" x14ac:dyDescent="0.25">
      <c r="A833" t="s">
        <v>1921</v>
      </c>
      <c r="B833" t="s">
        <v>208</v>
      </c>
      <c r="C833">
        <v>544104</v>
      </c>
      <c r="D833" t="s">
        <v>1939</v>
      </c>
      <c r="E833" t="s">
        <v>1940</v>
      </c>
      <c r="F833" t="s">
        <v>1941</v>
      </c>
      <c r="G833" t="s">
        <v>1942</v>
      </c>
      <c r="H833" t="s">
        <v>1053</v>
      </c>
      <c r="I833" t="s">
        <v>1053</v>
      </c>
      <c r="J833" t="s">
        <v>720</v>
      </c>
      <c r="K833" t="s">
        <v>55</v>
      </c>
      <c r="L833" t="s">
        <v>55</v>
      </c>
      <c r="M833" t="s">
        <v>1926</v>
      </c>
    </row>
    <row r="834" spans="1:13" ht="15" customHeight="1" x14ac:dyDescent="0.25">
      <c r="A834" t="s">
        <v>1921</v>
      </c>
      <c r="B834" t="s">
        <v>208</v>
      </c>
      <c r="C834">
        <v>544108</v>
      </c>
      <c r="D834" t="s">
        <v>1943</v>
      </c>
      <c r="E834" t="s">
        <v>1944</v>
      </c>
      <c r="F834" t="s">
        <v>1945</v>
      </c>
      <c r="G834" t="s">
        <v>1946</v>
      </c>
      <c r="H834" t="s">
        <v>1947</v>
      </c>
      <c r="I834" t="s">
        <v>1947</v>
      </c>
      <c r="J834" t="s">
        <v>615</v>
      </c>
      <c r="K834" t="s">
        <v>55</v>
      </c>
      <c r="L834" t="s">
        <v>55</v>
      </c>
      <c r="M834" t="s">
        <v>1926</v>
      </c>
    </row>
    <row r="835" spans="1:13" ht="15" customHeight="1" x14ac:dyDescent="0.25">
      <c r="A835" t="s">
        <v>1921</v>
      </c>
      <c r="B835" t="s">
        <v>208</v>
      </c>
      <c r="C835">
        <v>544101</v>
      </c>
      <c r="D835" t="s">
        <v>1948</v>
      </c>
      <c r="E835" t="s">
        <v>1949</v>
      </c>
      <c r="F835" t="s">
        <v>1950</v>
      </c>
      <c r="G835" t="s">
        <v>1951</v>
      </c>
      <c r="H835" t="s">
        <v>1838</v>
      </c>
      <c r="I835" t="s">
        <v>1838</v>
      </c>
      <c r="J835" t="s">
        <v>1116</v>
      </c>
      <c r="K835" t="s">
        <v>55</v>
      </c>
      <c r="L835" t="s">
        <v>55</v>
      </c>
      <c r="M835" t="s">
        <v>1926</v>
      </c>
    </row>
    <row r="836" spans="1:13" ht="15" customHeight="1" x14ac:dyDescent="0.25">
      <c r="A836" t="s">
        <v>1921</v>
      </c>
      <c r="B836" t="s">
        <v>208</v>
      </c>
      <c r="C836">
        <v>543924</v>
      </c>
      <c r="D836" t="s">
        <v>1835</v>
      </c>
      <c r="E836" t="s">
        <v>1952</v>
      </c>
      <c r="F836" t="s">
        <v>1953</v>
      </c>
      <c r="G836" t="s">
        <v>1954</v>
      </c>
      <c r="H836" t="s">
        <v>1838</v>
      </c>
      <c r="I836" t="s">
        <v>1838</v>
      </c>
      <c r="J836" t="s">
        <v>615</v>
      </c>
      <c r="K836" t="s">
        <v>55</v>
      </c>
      <c r="L836" t="s">
        <v>55</v>
      </c>
      <c r="M836" t="s">
        <v>1955</v>
      </c>
    </row>
    <row r="837" spans="1:13" ht="15" customHeight="1" x14ac:dyDescent="0.25">
      <c r="A837" t="s">
        <v>1921</v>
      </c>
      <c r="B837" t="s">
        <v>208</v>
      </c>
      <c r="C837">
        <v>544010</v>
      </c>
      <c r="D837" t="s">
        <v>1956</v>
      </c>
      <c r="E837" t="s">
        <v>1957</v>
      </c>
      <c r="F837" t="s">
        <v>1958</v>
      </c>
      <c r="G837" t="s">
        <v>1959</v>
      </c>
      <c r="H837" t="s">
        <v>1947</v>
      </c>
      <c r="I837" t="s">
        <v>1947</v>
      </c>
      <c r="J837" t="s">
        <v>703</v>
      </c>
      <c r="K837" t="s">
        <v>55</v>
      </c>
      <c r="L837" t="s">
        <v>55</v>
      </c>
      <c r="M837" t="s">
        <v>1926</v>
      </c>
    </row>
    <row r="838" spans="1:13" ht="15" customHeight="1" x14ac:dyDescent="0.25">
      <c r="A838" t="s">
        <v>1921</v>
      </c>
      <c r="B838" t="s">
        <v>208</v>
      </c>
      <c r="C838">
        <v>544028</v>
      </c>
      <c r="D838" t="s">
        <v>1960</v>
      </c>
      <c r="E838" t="s">
        <v>1961</v>
      </c>
      <c r="F838" t="s">
        <v>1962</v>
      </c>
      <c r="G838" t="s">
        <v>1963</v>
      </c>
      <c r="H838" t="s">
        <v>64</v>
      </c>
      <c r="I838" t="s">
        <v>64</v>
      </c>
      <c r="J838" t="s">
        <v>703</v>
      </c>
      <c r="K838" t="s">
        <v>55</v>
      </c>
      <c r="L838" t="s">
        <v>55</v>
      </c>
      <c r="M838" t="s">
        <v>1926</v>
      </c>
    </row>
    <row r="839" spans="1:13" ht="15" customHeight="1" x14ac:dyDescent="0.25">
      <c r="A839" t="s">
        <v>1921</v>
      </c>
      <c r="B839" t="s">
        <v>208</v>
      </c>
      <c r="C839">
        <v>544105</v>
      </c>
      <c r="D839" t="s">
        <v>1964</v>
      </c>
      <c r="E839" t="s">
        <v>1965</v>
      </c>
      <c r="F839" t="s">
        <v>1966</v>
      </c>
      <c r="G839" t="s">
        <v>1967</v>
      </c>
      <c r="H839" t="s">
        <v>1838</v>
      </c>
      <c r="I839" t="s">
        <v>1838</v>
      </c>
      <c r="J839" t="s">
        <v>615</v>
      </c>
      <c r="K839" t="s">
        <v>55</v>
      </c>
      <c r="L839" t="s">
        <v>55</v>
      </c>
      <c r="M839" t="s">
        <v>1926</v>
      </c>
    </row>
    <row r="840" spans="1:13" ht="15" customHeight="1" x14ac:dyDescent="0.25">
      <c r="A840" t="s">
        <v>1921</v>
      </c>
      <c r="B840" t="s">
        <v>208</v>
      </c>
      <c r="C840">
        <v>543590</v>
      </c>
      <c r="D840" t="s">
        <v>1968</v>
      </c>
      <c r="E840" t="s">
        <v>1969</v>
      </c>
      <c r="F840" t="s">
        <v>1970</v>
      </c>
      <c r="G840" t="s">
        <v>1971</v>
      </c>
      <c r="H840" t="s">
        <v>64</v>
      </c>
      <c r="I840" t="s">
        <v>64</v>
      </c>
      <c r="J840" t="s">
        <v>927</v>
      </c>
      <c r="K840" t="s">
        <v>55</v>
      </c>
      <c r="L840" t="s">
        <v>55</v>
      </c>
      <c r="M840" t="s">
        <v>1955</v>
      </c>
    </row>
    <row r="841" spans="1:13" ht="15" customHeight="1" x14ac:dyDescent="0.25">
      <c r="A841" t="s">
        <v>1921</v>
      </c>
      <c r="B841" t="s">
        <v>208</v>
      </c>
      <c r="C841">
        <v>543589</v>
      </c>
      <c r="D841" t="s">
        <v>1972</v>
      </c>
      <c r="E841" t="s">
        <v>1973</v>
      </c>
      <c r="F841" t="s">
        <v>1974</v>
      </c>
      <c r="G841" t="s">
        <v>1975</v>
      </c>
      <c r="H841" t="s">
        <v>64</v>
      </c>
      <c r="I841" t="s">
        <v>64</v>
      </c>
      <c r="J841" t="s">
        <v>715</v>
      </c>
      <c r="K841" t="s">
        <v>55</v>
      </c>
      <c r="L841" t="s">
        <v>55</v>
      </c>
      <c r="M841" t="s">
        <v>1926</v>
      </c>
    </row>
    <row r="842" spans="1:13" ht="15" customHeight="1" x14ac:dyDescent="0.25">
      <c r="A842" t="s">
        <v>1921</v>
      </c>
      <c r="B842" t="s">
        <v>208</v>
      </c>
      <c r="C842">
        <v>543843</v>
      </c>
      <c r="D842" t="s">
        <v>1976</v>
      </c>
      <c r="E842" t="s">
        <v>1239</v>
      </c>
      <c r="F842" t="s">
        <v>1977</v>
      </c>
      <c r="G842" t="s">
        <v>1978</v>
      </c>
      <c r="H842" t="s">
        <v>1838</v>
      </c>
      <c r="I842" t="s">
        <v>1838</v>
      </c>
      <c r="J842" t="s">
        <v>615</v>
      </c>
      <c r="K842" t="s">
        <v>55</v>
      </c>
      <c r="L842" t="s">
        <v>55</v>
      </c>
      <c r="M842" t="s">
        <v>1926</v>
      </c>
    </row>
    <row r="843" spans="1:13" ht="15" customHeight="1" x14ac:dyDescent="0.25">
      <c r="A843" t="s">
        <v>1921</v>
      </c>
      <c r="B843" t="s">
        <v>208</v>
      </c>
      <c r="C843">
        <v>544011</v>
      </c>
      <c r="D843" t="s">
        <v>1979</v>
      </c>
      <c r="E843" t="s">
        <v>1980</v>
      </c>
      <c r="F843" t="s">
        <v>1981</v>
      </c>
      <c r="G843" t="s">
        <v>1982</v>
      </c>
      <c r="H843" t="s">
        <v>1947</v>
      </c>
      <c r="I843" t="s">
        <v>1947</v>
      </c>
      <c r="J843" t="s">
        <v>603</v>
      </c>
      <c r="K843" t="s">
        <v>55</v>
      </c>
      <c r="L843" t="s">
        <v>55</v>
      </c>
      <c r="M843" t="s">
        <v>1926</v>
      </c>
    </row>
    <row r="844" spans="1:13" ht="15" customHeight="1" x14ac:dyDescent="0.25">
      <c r="A844" t="s">
        <v>1921</v>
      </c>
      <c r="B844" t="s">
        <v>208</v>
      </c>
      <c r="C844">
        <v>544100</v>
      </c>
      <c r="D844" t="s">
        <v>1983</v>
      </c>
      <c r="E844" t="s">
        <v>1984</v>
      </c>
      <c r="F844" t="s">
        <v>1985</v>
      </c>
      <c r="G844" t="s">
        <v>1986</v>
      </c>
      <c r="H844" t="s">
        <v>64</v>
      </c>
      <c r="I844" t="s">
        <v>64</v>
      </c>
      <c r="J844" t="s">
        <v>603</v>
      </c>
      <c r="K844" t="s">
        <v>55</v>
      </c>
      <c r="L844" t="s">
        <v>55</v>
      </c>
      <c r="M844" t="s">
        <v>1926</v>
      </c>
    </row>
    <row r="845" spans="1:13" ht="15" customHeight="1" x14ac:dyDescent="0.25">
      <c r="A845" t="s">
        <v>1921</v>
      </c>
      <c r="B845" t="s">
        <v>208</v>
      </c>
      <c r="C845">
        <v>544009</v>
      </c>
      <c r="D845" t="s">
        <v>1987</v>
      </c>
      <c r="E845" t="s">
        <v>1988</v>
      </c>
      <c r="F845" t="s">
        <v>1989</v>
      </c>
      <c r="G845" t="s">
        <v>1990</v>
      </c>
      <c r="H845" t="s">
        <v>68</v>
      </c>
      <c r="I845" t="s">
        <v>68</v>
      </c>
      <c r="J845" t="s">
        <v>631</v>
      </c>
      <c r="K845" t="s">
        <v>55</v>
      </c>
      <c r="L845" t="s">
        <v>55</v>
      </c>
      <c r="M845" t="s">
        <v>1926</v>
      </c>
    </row>
    <row r="846" spans="1:13" ht="15" customHeight="1" x14ac:dyDescent="0.25">
      <c r="A846" t="s">
        <v>1921</v>
      </c>
      <c r="B846" t="s">
        <v>208</v>
      </c>
      <c r="C846">
        <v>544102</v>
      </c>
      <c r="D846" t="s">
        <v>1991</v>
      </c>
      <c r="E846" t="s">
        <v>1992</v>
      </c>
      <c r="F846" t="s">
        <v>1993</v>
      </c>
      <c r="G846" t="s">
        <v>1994</v>
      </c>
      <c r="H846" t="s">
        <v>1838</v>
      </c>
      <c r="I846" t="s">
        <v>1838</v>
      </c>
      <c r="J846" t="s">
        <v>631</v>
      </c>
      <c r="K846" t="s">
        <v>55</v>
      </c>
      <c r="L846" t="s">
        <v>55</v>
      </c>
      <c r="M846" t="s">
        <v>1926</v>
      </c>
    </row>
    <row r="847" spans="1:13" ht="15" customHeight="1" x14ac:dyDescent="0.25">
      <c r="A847" t="s">
        <v>1921</v>
      </c>
      <c r="B847" t="s">
        <v>208</v>
      </c>
      <c r="C847">
        <v>544099</v>
      </c>
      <c r="D847" t="s">
        <v>1995</v>
      </c>
      <c r="E847" t="s">
        <v>1996</v>
      </c>
      <c r="F847" t="s">
        <v>1997</v>
      </c>
      <c r="G847" t="s">
        <v>1998</v>
      </c>
      <c r="H847" t="s">
        <v>66</v>
      </c>
      <c r="I847" t="s">
        <v>64</v>
      </c>
      <c r="J847" t="s">
        <v>596</v>
      </c>
      <c r="K847" t="s">
        <v>55</v>
      </c>
      <c r="L847" t="s">
        <v>55</v>
      </c>
      <c r="M847" t="s">
        <v>1926</v>
      </c>
    </row>
    <row r="848" spans="1:13" ht="15" customHeight="1" x14ac:dyDescent="0.25">
      <c r="A848" t="s">
        <v>1921</v>
      </c>
      <c r="B848" t="s">
        <v>208</v>
      </c>
      <c r="C848">
        <v>543842</v>
      </c>
      <c r="D848" t="s">
        <v>1999</v>
      </c>
      <c r="E848" t="s">
        <v>2000</v>
      </c>
      <c r="F848" t="s">
        <v>2001</v>
      </c>
      <c r="G848" t="s">
        <v>2002</v>
      </c>
      <c r="H848" t="s">
        <v>1838</v>
      </c>
      <c r="I848" t="s">
        <v>1838</v>
      </c>
      <c r="J848" t="s">
        <v>615</v>
      </c>
      <c r="K848" t="s">
        <v>55</v>
      </c>
      <c r="L848" t="s">
        <v>55</v>
      </c>
      <c r="M848" t="s">
        <v>1926</v>
      </c>
    </row>
    <row r="849" spans="1:13" ht="15" customHeight="1" x14ac:dyDescent="0.25">
      <c r="A849" t="s">
        <v>1921</v>
      </c>
      <c r="B849" t="s">
        <v>208</v>
      </c>
      <c r="C849">
        <v>544103</v>
      </c>
      <c r="D849" t="s">
        <v>2003</v>
      </c>
      <c r="E849" t="s">
        <v>2004</v>
      </c>
      <c r="F849" t="s">
        <v>2005</v>
      </c>
      <c r="G849" t="s">
        <v>2006</v>
      </c>
      <c r="H849" t="s">
        <v>1947</v>
      </c>
      <c r="I849" t="s">
        <v>1947</v>
      </c>
      <c r="J849" t="s">
        <v>1263</v>
      </c>
      <c r="K849" t="s">
        <v>55</v>
      </c>
      <c r="L849" t="s">
        <v>55</v>
      </c>
      <c r="M849" t="s">
        <v>1926</v>
      </c>
    </row>
    <row r="850" spans="1:13" ht="15" customHeight="1" x14ac:dyDescent="0.25">
      <c r="A850" t="s">
        <v>1921</v>
      </c>
      <c r="B850" t="s">
        <v>208</v>
      </c>
      <c r="C850">
        <v>544168</v>
      </c>
      <c r="D850" t="s">
        <v>69</v>
      </c>
      <c r="E850" t="s">
        <v>2007</v>
      </c>
      <c r="F850" t="s">
        <v>2008</v>
      </c>
      <c r="G850" t="s">
        <v>2009</v>
      </c>
      <c r="H850" t="s">
        <v>61</v>
      </c>
      <c r="I850" t="s">
        <v>1053</v>
      </c>
      <c r="J850" t="s">
        <v>955</v>
      </c>
      <c r="K850" t="s">
        <v>55</v>
      </c>
      <c r="L850" t="s">
        <v>55</v>
      </c>
      <c r="M850" t="s">
        <v>1926</v>
      </c>
    </row>
    <row r="851" spans="1:13" ht="15" customHeight="1" x14ac:dyDescent="0.25">
      <c r="A851" t="s">
        <v>1921</v>
      </c>
      <c r="B851" t="s">
        <v>208</v>
      </c>
      <c r="C851">
        <v>544012</v>
      </c>
      <c r="D851" t="s">
        <v>2010</v>
      </c>
      <c r="E851" t="s">
        <v>2011</v>
      </c>
      <c r="F851" t="s">
        <v>2012</v>
      </c>
      <c r="G851" t="s">
        <v>2013</v>
      </c>
      <c r="H851" t="s">
        <v>60</v>
      </c>
      <c r="I851" t="s">
        <v>60</v>
      </c>
      <c r="J851" t="s">
        <v>2014</v>
      </c>
      <c r="K851" t="s">
        <v>55</v>
      </c>
      <c r="L851" t="s">
        <v>55</v>
      </c>
      <c r="M851" t="s">
        <v>1926</v>
      </c>
    </row>
    <row r="852" spans="1:13" ht="15" customHeight="1" x14ac:dyDescent="0.25">
      <c r="A852" t="s">
        <v>1921</v>
      </c>
      <c r="B852" t="s">
        <v>208</v>
      </c>
      <c r="C852">
        <v>544008</v>
      </c>
      <c r="D852" t="s">
        <v>2015</v>
      </c>
      <c r="E852" t="s">
        <v>2016</v>
      </c>
      <c r="F852" t="s">
        <v>2017</v>
      </c>
      <c r="G852" t="s">
        <v>2018</v>
      </c>
      <c r="H852" t="s">
        <v>1947</v>
      </c>
      <c r="I852" t="s">
        <v>1947</v>
      </c>
      <c r="J852" t="s">
        <v>703</v>
      </c>
      <c r="K852" t="s">
        <v>55</v>
      </c>
      <c r="L852" t="s">
        <v>55</v>
      </c>
      <c r="M852" t="s">
        <v>1926</v>
      </c>
    </row>
    <row r="853" spans="1:13" ht="15" customHeight="1" x14ac:dyDescent="0.25">
      <c r="A853" t="s">
        <v>2019</v>
      </c>
      <c r="B853" t="s">
        <v>208</v>
      </c>
      <c r="C853">
        <v>543968</v>
      </c>
      <c r="D853" t="s">
        <v>1922</v>
      </c>
      <c r="E853" t="s">
        <v>1923</v>
      </c>
      <c r="F853" t="s">
        <v>1924</v>
      </c>
      <c r="G853" t="s">
        <v>1925</v>
      </c>
      <c r="H853" t="s">
        <v>68</v>
      </c>
      <c r="I853" t="s">
        <v>68</v>
      </c>
      <c r="J853" t="s">
        <v>853</v>
      </c>
      <c r="K853" t="s">
        <v>55</v>
      </c>
      <c r="L853" t="s">
        <v>55</v>
      </c>
      <c r="M853" t="s">
        <v>1926</v>
      </c>
    </row>
    <row r="854" spans="1:13" ht="15" customHeight="1" x14ac:dyDescent="0.25">
      <c r="A854" t="s">
        <v>2019</v>
      </c>
      <c r="B854" t="s">
        <v>208</v>
      </c>
      <c r="C854">
        <v>544089</v>
      </c>
      <c r="D854" t="s">
        <v>1927</v>
      </c>
      <c r="E854" t="s">
        <v>1928</v>
      </c>
      <c r="F854" t="s">
        <v>1929</v>
      </c>
      <c r="G854" t="s">
        <v>1930</v>
      </c>
      <c r="H854" t="s">
        <v>58</v>
      </c>
      <c r="I854" t="s">
        <v>58</v>
      </c>
      <c r="J854" t="s">
        <v>631</v>
      </c>
      <c r="K854" t="s">
        <v>55</v>
      </c>
      <c r="L854" t="s">
        <v>55</v>
      </c>
      <c r="M854" t="s">
        <v>1926</v>
      </c>
    </row>
    <row r="855" spans="1:13" ht="15" customHeight="1" x14ac:dyDescent="0.25">
      <c r="A855" t="s">
        <v>2019</v>
      </c>
      <c r="B855" t="s">
        <v>208</v>
      </c>
      <c r="C855">
        <v>544106</v>
      </c>
      <c r="D855" t="s">
        <v>1931</v>
      </c>
      <c r="E855" t="s">
        <v>1932</v>
      </c>
      <c r="F855" t="s">
        <v>1933</v>
      </c>
      <c r="G855" t="s">
        <v>1934</v>
      </c>
      <c r="H855" t="s">
        <v>58</v>
      </c>
      <c r="I855" t="s">
        <v>58</v>
      </c>
      <c r="J855" t="s">
        <v>660</v>
      </c>
      <c r="K855" t="s">
        <v>55</v>
      </c>
      <c r="L855" t="s">
        <v>55</v>
      </c>
      <c r="M855" t="s">
        <v>1926</v>
      </c>
    </row>
    <row r="856" spans="1:13" ht="15" customHeight="1" x14ac:dyDescent="0.25">
      <c r="A856" t="s">
        <v>2019</v>
      </c>
      <c r="B856" t="s">
        <v>208</v>
      </c>
      <c r="C856">
        <v>544107</v>
      </c>
      <c r="D856" t="s">
        <v>1935</v>
      </c>
      <c r="E856" t="s">
        <v>1936</v>
      </c>
      <c r="F856" t="s">
        <v>1937</v>
      </c>
      <c r="G856" t="s">
        <v>1938</v>
      </c>
      <c r="H856" t="s">
        <v>62</v>
      </c>
      <c r="I856" t="s">
        <v>62</v>
      </c>
      <c r="J856" t="s">
        <v>1263</v>
      </c>
      <c r="K856" t="s">
        <v>55</v>
      </c>
      <c r="L856" t="s">
        <v>55</v>
      </c>
      <c r="M856" t="s">
        <v>1926</v>
      </c>
    </row>
    <row r="857" spans="1:13" ht="15" customHeight="1" x14ac:dyDescent="0.25">
      <c r="A857" t="s">
        <v>2019</v>
      </c>
      <c r="B857" t="s">
        <v>208</v>
      </c>
      <c r="C857">
        <v>544104</v>
      </c>
      <c r="D857" t="s">
        <v>1939</v>
      </c>
      <c r="E857" t="s">
        <v>1940</v>
      </c>
      <c r="F857" t="s">
        <v>1941</v>
      </c>
      <c r="G857" t="s">
        <v>1942</v>
      </c>
      <c r="H857" t="s">
        <v>1053</v>
      </c>
      <c r="I857" t="s">
        <v>1053</v>
      </c>
      <c r="J857" t="s">
        <v>720</v>
      </c>
      <c r="K857" t="s">
        <v>55</v>
      </c>
      <c r="L857" t="s">
        <v>55</v>
      </c>
      <c r="M857" t="s">
        <v>1926</v>
      </c>
    </row>
    <row r="858" spans="1:13" ht="15" customHeight="1" x14ac:dyDescent="0.25">
      <c r="A858" t="s">
        <v>2019</v>
      </c>
      <c r="B858" t="s">
        <v>208</v>
      </c>
      <c r="C858">
        <v>544108</v>
      </c>
      <c r="D858" t="s">
        <v>1943</v>
      </c>
      <c r="E858" t="s">
        <v>1944</v>
      </c>
      <c r="F858" t="s">
        <v>1945</v>
      </c>
      <c r="G858" t="s">
        <v>1946</v>
      </c>
      <c r="H858" t="s">
        <v>1947</v>
      </c>
      <c r="I858" t="s">
        <v>1947</v>
      </c>
      <c r="J858" t="s">
        <v>615</v>
      </c>
      <c r="K858" t="s">
        <v>55</v>
      </c>
      <c r="L858" t="s">
        <v>55</v>
      </c>
      <c r="M858" t="s">
        <v>1926</v>
      </c>
    </row>
    <row r="859" spans="1:13" ht="15" customHeight="1" x14ac:dyDescent="0.25">
      <c r="A859" t="s">
        <v>2019</v>
      </c>
      <c r="B859" t="s">
        <v>208</v>
      </c>
      <c r="C859">
        <v>544101</v>
      </c>
      <c r="D859" t="s">
        <v>1948</v>
      </c>
      <c r="E859" t="s">
        <v>1949</v>
      </c>
      <c r="F859" t="s">
        <v>1950</v>
      </c>
      <c r="G859" t="s">
        <v>1951</v>
      </c>
      <c r="H859" t="s">
        <v>1838</v>
      </c>
      <c r="I859" t="s">
        <v>1838</v>
      </c>
      <c r="J859" t="s">
        <v>1116</v>
      </c>
      <c r="K859" t="s">
        <v>55</v>
      </c>
      <c r="L859" t="s">
        <v>55</v>
      </c>
      <c r="M859" t="s">
        <v>1926</v>
      </c>
    </row>
    <row r="860" spans="1:13" ht="15" customHeight="1" x14ac:dyDescent="0.25">
      <c r="A860" t="s">
        <v>2019</v>
      </c>
      <c r="B860" t="s">
        <v>208</v>
      </c>
      <c r="C860">
        <v>543924</v>
      </c>
      <c r="D860" t="s">
        <v>1835</v>
      </c>
      <c r="E860" t="s">
        <v>1952</v>
      </c>
      <c r="F860" t="s">
        <v>1953</v>
      </c>
      <c r="G860" t="s">
        <v>1954</v>
      </c>
      <c r="H860" t="s">
        <v>1838</v>
      </c>
      <c r="I860" t="s">
        <v>1838</v>
      </c>
      <c r="J860" t="s">
        <v>615</v>
      </c>
      <c r="K860" t="s">
        <v>55</v>
      </c>
      <c r="L860" t="s">
        <v>55</v>
      </c>
      <c r="M860" t="s">
        <v>1955</v>
      </c>
    </row>
    <row r="861" spans="1:13" ht="15" customHeight="1" x14ac:dyDescent="0.25">
      <c r="A861" t="s">
        <v>2019</v>
      </c>
      <c r="B861" t="s">
        <v>208</v>
      </c>
      <c r="C861">
        <v>544010</v>
      </c>
      <c r="D861" t="s">
        <v>1956</v>
      </c>
      <c r="E861" t="s">
        <v>1957</v>
      </c>
      <c r="F861" t="s">
        <v>1958</v>
      </c>
      <c r="G861" t="s">
        <v>1959</v>
      </c>
      <c r="H861" t="s">
        <v>1947</v>
      </c>
      <c r="I861" t="s">
        <v>1947</v>
      </c>
      <c r="J861" t="s">
        <v>703</v>
      </c>
      <c r="K861" t="s">
        <v>55</v>
      </c>
      <c r="L861" t="s">
        <v>55</v>
      </c>
      <c r="M861" t="s">
        <v>1926</v>
      </c>
    </row>
    <row r="862" spans="1:13" ht="15" customHeight="1" x14ac:dyDescent="0.25">
      <c r="A862" t="s">
        <v>2019</v>
      </c>
      <c r="B862" t="s">
        <v>208</v>
      </c>
      <c r="C862">
        <v>544028</v>
      </c>
      <c r="D862" t="s">
        <v>1960</v>
      </c>
      <c r="E862" t="s">
        <v>1961</v>
      </c>
      <c r="F862" t="s">
        <v>1962</v>
      </c>
      <c r="G862" t="s">
        <v>1963</v>
      </c>
      <c r="H862" t="s">
        <v>64</v>
      </c>
      <c r="I862" t="s">
        <v>64</v>
      </c>
      <c r="J862" t="s">
        <v>703</v>
      </c>
      <c r="K862" t="s">
        <v>55</v>
      </c>
      <c r="L862" t="s">
        <v>55</v>
      </c>
      <c r="M862" t="s">
        <v>1926</v>
      </c>
    </row>
    <row r="863" spans="1:13" ht="15" customHeight="1" x14ac:dyDescent="0.25">
      <c r="A863" t="s">
        <v>2019</v>
      </c>
      <c r="B863" t="s">
        <v>208</v>
      </c>
      <c r="C863">
        <v>544149</v>
      </c>
      <c r="D863" t="s">
        <v>2020</v>
      </c>
      <c r="E863" t="s">
        <v>2021</v>
      </c>
      <c r="F863" t="s">
        <v>2022</v>
      </c>
      <c r="G863" t="s">
        <v>2023</v>
      </c>
      <c r="H863" t="s">
        <v>1947</v>
      </c>
      <c r="I863" t="s">
        <v>1947</v>
      </c>
      <c r="J863" t="s">
        <v>2024</v>
      </c>
      <c r="K863" t="s">
        <v>55</v>
      </c>
      <c r="L863" t="s">
        <v>55</v>
      </c>
      <c r="M863" t="s">
        <v>1926</v>
      </c>
    </row>
    <row r="864" spans="1:13" ht="15" customHeight="1" x14ac:dyDescent="0.25">
      <c r="A864" t="s">
        <v>2019</v>
      </c>
      <c r="B864" t="s">
        <v>208</v>
      </c>
      <c r="C864">
        <v>544105</v>
      </c>
      <c r="D864" t="s">
        <v>1964</v>
      </c>
      <c r="E864" t="s">
        <v>1965</v>
      </c>
      <c r="F864" t="s">
        <v>1966</v>
      </c>
      <c r="G864" t="s">
        <v>1967</v>
      </c>
      <c r="H864" t="s">
        <v>1838</v>
      </c>
      <c r="I864" t="s">
        <v>1838</v>
      </c>
      <c r="J864" t="s">
        <v>615</v>
      </c>
      <c r="K864" t="s">
        <v>55</v>
      </c>
      <c r="L864" t="s">
        <v>55</v>
      </c>
      <c r="M864" t="s">
        <v>1926</v>
      </c>
    </row>
    <row r="865" spans="1:13" ht="15" customHeight="1" x14ac:dyDescent="0.25">
      <c r="A865" t="s">
        <v>2019</v>
      </c>
      <c r="B865" t="s">
        <v>208</v>
      </c>
      <c r="C865">
        <v>543590</v>
      </c>
      <c r="D865" t="s">
        <v>1968</v>
      </c>
      <c r="E865" t="s">
        <v>1969</v>
      </c>
      <c r="F865" t="s">
        <v>1970</v>
      </c>
      <c r="G865" t="s">
        <v>1971</v>
      </c>
      <c r="H865" t="s">
        <v>64</v>
      </c>
      <c r="I865" t="s">
        <v>64</v>
      </c>
      <c r="J865" t="s">
        <v>927</v>
      </c>
      <c r="K865" t="s">
        <v>55</v>
      </c>
      <c r="L865" t="s">
        <v>55</v>
      </c>
      <c r="M865" t="s">
        <v>1955</v>
      </c>
    </row>
    <row r="866" spans="1:13" ht="15" customHeight="1" x14ac:dyDescent="0.25">
      <c r="A866" t="s">
        <v>2019</v>
      </c>
      <c r="B866" t="s">
        <v>208</v>
      </c>
      <c r="C866">
        <v>543589</v>
      </c>
      <c r="D866" t="s">
        <v>1972</v>
      </c>
      <c r="E866" t="s">
        <v>1973</v>
      </c>
      <c r="F866" t="s">
        <v>1974</v>
      </c>
      <c r="G866" t="s">
        <v>1975</v>
      </c>
      <c r="H866" t="s">
        <v>64</v>
      </c>
      <c r="I866" t="s">
        <v>64</v>
      </c>
      <c r="J866" t="s">
        <v>715</v>
      </c>
      <c r="K866" t="s">
        <v>55</v>
      </c>
      <c r="L866" t="s">
        <v>55</v>
      </c>
      <c r="M866" t="s">
        <v>1926</v>
      </c>
    </row>
    <row r="867" spans="1:13" ht="15" customHeight="1" x14ac:dyDescent="0.25">
      <c r="A867" t="s">
        <v>2019</v>
      </c>
      <c r="B867" t="s">
        <v>208</v>
      </c>
      <c r="C867">
        <v>543843</v>
      </c>
      <c r="D867" t="s">
        <v>1976</v>
      </c>
      <c r="E867" t="s">
        <v>1239</v>
      </c>
      <c r="F867" t="s">
        <v>1977</v>
      </c>
      <c r="G867" t="s">
        <v>1978</v>
      </c>
      <c r="H867" t="s">
        <v>1838</v>
      </c>
      <c r="I867" t="s">
        <v>1838</v>
      </c>
      <c r="J867" t="s">
        <v>615</v>
      </c>
      <c r="K867" t="s">
        <v>55</v>
      </c>
      <c r="L867" t="s">
        <v>55</v>
      </c>
      <c r="M867" t="s">
        <v>1926</v>
      </c>
    </row>
    <row r="868" spans="1:13" ht="15" customHeight="1" x14ac:dyDescent="0.25">
      <c r="A868" t="s">
        <v>2019</v>
      </c>
      <c r="B868" t="s">
        <v>208</v>
      </c>
      <c r="C868">
        <v>544011</v>
      </c>
      <c r="D868" t="s">
        <v>1979</v>
      </c>
      <c r="E868" t="s">
        <v>1980</v>
      </c>
      <c r="F868" t="s">
        <v>1981</v>
      </c>
      <c r="G868" t="s">
        <v>1982</v>
      </c>
      <c r="H868" t="s">
        <v>1947</v>
      </c>
      <c r="I868" t="s">
        <v>1947</v>
      </c>
      <c r="J868" t="s">
        <v>603</v>
      </c>
      <c r="K868" t="s">
        <v>55</v>
      </c>
      <c r="L868" t="s">
        <v>55</v>
      </c>
      <c r="M868" t="s">
        <v>1926</v>
      </c>
    </row>
    <row r="869" spans="1:13" ht="15" customHeight="1" x14ac:dyDescent="0.25">
      <c r="A869" t="s">
        <v>2019</v>
      </c>
      <c r="B869" t="s">
        <v>208</v>
      </c>
      <c r="C869">
        <v>544100</v>
      </c>
      <c r="D869" t="s">
        <v>1983</v>
      </c>
      <c r="E869" t="s">
        <v>1984</v>
      </c>
      <c r="F869" t="s">
        <v>1985</v>
      </c>
      <c r="G869" t="s">
        <v>1986</v>
      </c>
      <c r="H869" t="s">
        <v>64</v>
      </c>
      <c r="I869" t="s">
        <v>64</v>
      </c>
      <c r="J869" t="s">
        <v>603</v>
      </c>
      <c r="K869" t="s">
        <v>55</v>
      </c>
      <c r="L869" t="s">
        <v>55</v>
      </c>
      <c r="M869" t="s">
        <v>1926</v>
      </c>
    </row>
    <row r="870" spans="1:13" ht="15" customHeight="1" x14ac:dyDescent="0.25">
      <c r="A870" t="s">
        <v>2019</v>
      </c>
      <c r="B870" t="s">
        <v>208</v>
      </c>
      <c r="C870">
        <v>544009</v>
      </c>
      <c r="D870" t="s">
        <v>1987</v>
      </c>
      <c r="E870" t="s">
        <v>1988</v>
      </c>
      <c r="F870" t="s">
        <v>1989</v>
      </c>
      <c r="G870" t="s">
        <v>1990</v>
      </c>
      <c r="H870" t="s">
        <v>68</v>
      </c>
      <c r="I870" t="s">
        <v>68</v>
      </c>
      <c r="J870" t="s">
        <v>631</v>
      </c>
      <c r="K870" t="s">
        <v>55</v>
      </c>
      <c r="L870" t="s">
        <v>55</v>
      </c>
      <c r="M870" t="s">
        <v>1926</v>
      </c>
    </row>
    <row r="871" spans="1:13" ht="15" customHeight="1" x14ac:dyDescent="0.25">
      <c r="A871" t="s">
        <v>2019</v>
      </c>
      <c r="B871" t="s">
        <v>208</v>
      </c>
      <c r="C871">
        <v>544102</v>
      </c>
      <c r="D871" t="s">
        <v>1991</v>
      </c>
      <c r="E871" t="s">
        <v>1992</v>
      </c>
      <c r="F871" t="s">
        <v>1993</v>
      </c>
      <c r="G871" t="s">
        <v>1994</v>
      </c>
      <c r="H871" t="s">
        <v>1838</v>
      </c>
      <c r="I871" t="s">
        <v>1838</v>
      </c>
      <c r="J871" t="s">
        <v>631</v>
      </c>
      <c r="K871" t="s">
        <v>55</v>
      </c>
      <c r="L871" t="s">
        <v>55</v>
      </c>
      <c r="M871" t="s">
        <v>1926</v>
      </c>
    </row>
    <row r="872" spans="1:13" ht="15" customHeight="1" x14ac:dyDescent="0.25">
      <c r="A872" t="s">
        <v>2019</v>
      </c>
      <c r="B872" t="s">
        <v>208</v>
      </c>
      <c r="C872">
        <v>544099</v>
      </c>
      <c r="D872" t="s">
        <v>1995</v>
      </c>
      <c r="E872" t="s">
        <v>1996</v>
      </c>
      <c r="F872" t="s">
        <v>1997</v>
      </c>
      <c r="G872" t="s">
        <v>1998</v>
      </c>
      <c r="H872" t="s">
        <v>66</v>
      </c>
      <c r="I872" t="s">
        <v>64</v>
      </c>
      <c r="J872" t="s">
        <v>596</v>
      </c>
      <c r="K872" t="s">
        <v>55</v>
      </c>
      <c r="L872" t="s">
        <v>55</v>
      </c>
      <c r="M872" t="s">
        <v>1926</v>
      </c>
    </row>
    <row r="873" spans="1:13" ht="15" customHeight="1" x14ac:dyDescent="0.25">
      <c r="A873" t="s">
        <v>2019</v>
      </c>
      <c r="B873" t="s">
        <v>208</v>
      </c>
      <c r="C873">
        <v>543842</v>
      </c>
      <c r="D873" t="s">
        <v>1999</v>
      </c>
      <c r="E873" t="s">
        <v>2000</v>
      </c>
      <c r="F873" t="s">
        <v>2001</v>
      </c>
      <c r="G873" t="s">
        <v>2002</v>
      </c>
      <c r="H873" t="s">
        <v>1838</v>
      </c>
      <c r="I873" t="s">
        <v>1838</v>
      </c>
      <c r="J873" t="s">
        <v>615</v>
      </c>
      <c r="K873" t="s">
        <v>55</v>
      </c>
      <c r="L873" t="s">
        <v>55</v>
      </c>
      <c r="M873" t="s">
        <v>1926</v>
      </c>
    </row>
    <row r="874" spans="1:13" ht="15" customHeight="1" x14ac:dyDescent="0.25">
      <c r="A874" t="s">
        <v>2019</v>
      </c>
      <c r="B874" t="s">
        <v>208</v>
      </c>
      <c r="C874">
        <v>544103</v>
      </c>
      <c r="D874" t="s">
        <v>2003</v>
      </c>
      <c r="E874" t="s">
        <v>2004</v>
      </c>
      <c r="F874" t="s">
        <v>2005</v>
      </c>
      <c r="G874" t="s">
        <v>2006</v>
      </c>
      <c r="H874" t="s">
        <v>1947</v>
      </c>
      <c r="I874" t="s">
        <v>1947</v>
      </c>
      <c r="J874" t="s">
        <v>1263</v>
      </c>
      <c r="K874" t="s">
        <v>55</v>
      </c>
      <c r="L874" t="s">
        <v>55</v>
      </c>
      <c r="M874" t="s">
        <v>1926</v>
      </c>
    </row>
    <row r="875" spans="1:13" ht="15" customHeight="1" x14ac:dyDescent="0.25">
      <c r="A875" t="s">
        <v>2019</v>
      </c>
      <c r="B875" t="s">
        <v>208</v>
      </c>
      <c r="C875">
        <v>544168</v>
      </c>
      <c r="D875" t="s">
        <v>69</v>
      </c>
      <c r="E875" t="s">
        <v>2007</v>
      </c>
      <c r="F875" t="s">
        <v>2008</v>
      </c>
      <c r="G875" t="s">
        <v>2009</v>
      </c>
      <c r="H875" t="s">
        <v>61</v>
      </c>
      <c r="I875" t="s">
        <v>1053</v>
      </c>
      <c r="J875" t="s">
        <v>955</v>
      </c>
      <c r="K875" t="s">
        <v>55</v>
      </c>
      <c r="L875" t="s">
        <v>55</v>
      </c>
      <c r="M875" t="s">
        <v>1926</v>
      </c>
    </row>
    <row r="876" spans="1:13" ht="15" customHeight="1" x14ac:dyDescent="0.25">
      <c r="A876" t="s">
        <v>2019</v>
      </c>
      <c r="B876" t="s">
        <v>208</v>
      </c>
      <c r="C876">
        <v>544012</v>
      </c>
      <c r="D876" t="s">
        <v>2010</v>
      </c>
      <c r="E876" t="s">
        <v>2011</v>
      </c>
      <c r="F876" t="s">
        <v>2012</v>
      </c>
      <c r="G876" t="s">
        <v>2013</v>
      </c>
      <c r="H876" t="s">
        <v>60</v>
      </c>
      <c r="I876" t="s">
        <v>60</v>
      </c>
      <c r="J876" t="s">
        <v>2014</v>
      </c>
      <c r="K876" t="s">
        <v>55</v>
      </c>
      <c r="L876" t="s">
        <v>55</v>
      </c>
      <c r="M876" t="s">
        <v>1926</v>
      </c>
    </row>
    <row r="877" spans="1:13" ht="15" customHeight="1" x14ac:dyDescent="0.25">
      <c r="A877" t="s">
        <v>2019</v>
      </c>
      <c r="B877" t="s">
        <v>208</v>
      </c>
      <c r="C877">
        <v>544008</v>
      </c>
      <c r="D877" t="s">
        <v>2015</v>
      </c>
      <c r="E877" t="s">
        <v>2016</v>
      </c>
      <c r="F877" t="s">
        <v>2017</v>
      </c>
      <c r="G877" t="s">
        <v>2018</v>
      </c>
      <c r="H877" t="s">
        <v>1947</v>
      </c>
      <c r="I877" t="s">
        <v>1947</v>
      </c>
      <c r="J877" t="s">
        <v>703</v>
      </c>
      <c r="K877" t="s">
        <v>55</v>
      </c>
      <c r="L877" t="s">
        <v>55</v>
      </c>
      <c r="M877" t="s">
        <v>1926</v>
      </c>
    </row>
    <row r="878" spans="1:13" ht="15" customHeight="1" x14ac:dyDescent="0.25">
      <c r="A878" t="s">
        <v>2025</v>
      </c>
      <c r="B878" t="s">
        <v>484</v>
      </c>
      <c r="C878">
        <v>544118</v>
      </c>
      <c r="D878" t="s">
        <v>2026</v>
      </c>
      <c r="E878" t="s">
        <v>1167</v>
      </c>
      <c r="F878" t="s">
        <v>2027</v>
      </c>
      <c r="G878" t="s">
        <v>2028</v>
      </c>
      <c r="H878" t="s">
        <v>65</v>
      </c>
      <c r="I878" t="s">
        <v>65</v>
      </c>
      <c r="J878" t="s">
        <v>809</v>
      </c>
      <c r="K878" t="s">
        <v>55</v>
      </c>
      <c r="L878" t="s">
        <v>55</v>
      </c>
      <c r="M878" t="s">
        <v>2029</v>
      </c>
    </row>
    <row r="879" spans="1:13" ht="15" customHeight="1" x14ac:dyDescent="0.25">
      <c r="A879" t="s">
        <v>2030</v>
      </c>
      <c r="B879" t="s">
        <v>327</v>
      </c>
      <c r="C879">
        <v>544069</v>
      </c>
      <c r="D879" t="s">
        <v>1424</v>
      </c>
      <c r="E879" t="s">
        <v>1425</v>
      </c>
      <c r="F879" t="s">
        <v>1426</v>
      </c>
      <c r="G879" t="s">
        <v>1427</v>
      </c>
      <c r="H879" t="s">
        <v>1199</v>
      </c>
      <c r="I879" t="s">
        <v>1428</v>
      </c>
      <c r="J879" t="s">
        <v>770</v>
      </c>
      <c r="K879" t="s">
        <v>55</v>
      </c>
      <c r="L879" t="s">
        <v>55</v>
      </c>
      <c r="M879" t="s">
        <v>1429</v>
      </c>
    </row>
    <row r="880" spans="1:13" ht="15" customHeight="1" x14ac:dyDescent="0.25">
      <c r="A880" t="s">
        <v>2030</v>
      </c>
      <c r="B880" t="s">
        <v>327</v>
      </c>
      <c r="C880">
        <v>544090</v>
      </c>
      <c r="D880" t="s">
        <v>1430</v>
      </c>
      <c r="E880" t="s">
        <v>1431</v>
      </c>
      <c r="F880" t="s">
        <v>1432</v>
      </c>
      <c r="G880" t="s">
        <v>1433</v>
      </c>
      <c r="H880" t="s">
        <v>999</v>
      </c>
      <c r="I880" t="s">
        <v>1428</v>
      </c>
      <c r="J880" t="s">
        <v>1305</v>
      </c>
      <c r="K880" t="s">
        <v>55</v>
      </c>
      <c r="L880" t="s">
        <v>55</v>
      </c>
      <c r="M880" t="s">
        <v>1847</v>
      </c>
    </row>
    <row r="881" spans="1:13" ht="15" customHeight="1" x14ac:dyDescent="0.25">
      <c r="A881" t="s">
        <v>2030</v>
      </c>
      <c r="B881" t="s">
        <v>327</v>
      </c>
      <c r="C881">
        <v>543655</v>
      </c>
      <c r="D881" t="s">
        <v>1435</v>
      </c>
      <c r="E881" t="s">
        <v>1436</v>
      </c>
      <c r="F881" t="s">
        <v>1437</v>
      </c>
      <c r="G881" t="s">
        <v>1438</v>
      </c>
      <c r="H881" t="s">
        <v>1008</v>
      </c>
      <c r="I881" t="s">
        <v>1428</v>
      </c>
      <c r="J881" t="s">
        <v>809</v>
      </c>
      <c r="K881" t="s">
        <v>55</v>
      </c>
      <c r="L881" t="s">
        <v>55</v>
      </c>
      <c r="M881" t="s">
        <v>1848</v>
      </c>
    </row>
    <row r="882" spans="1:13" ht="15" customHeight="1" x14ac:dyDescent="0.25">
      <c r="A882" t="s">
        <v>2030</v>
      </c>
      <c r="B882" t="s">
        <v>327</v>
      </c>
      <c r="C882">
        <v>543710</v>
      </c>
      <c r="D882" t="s">
        <v>1440</v>
      </c>
      <c r="E882" t="s">
        <v>1441</v>
      </c>
      <c r="F882" t="s">
        <v>1442</v>
      </c>
      <c r="G882" t="s">
        <v>1443</v>
      </c>
      <c r="H882" t="s">
        <v>999</v>
      </c>
      <c r="I882" t="s">
        <v>1428</v>
      </c>
      <c r="J882" t="s">
        <v>609</v>
      </c>
      <c r="K882" t="s">
        <v>55</v>
      </c>
      <c r="L882" t="s">
        <v>55</v>
      </c>
      <c r="M882" t="s">
        <v>1569</v>
      </c>
    </row>
    <row r="883" spans="1:13" ht="15" customHeight="1" x14ac:dyDescent="0.25">
      <c r="A883" t="s">
        <v>2030</v>
      </c>
      <c r="B883" t="s">
        <v>327</v>
      </c>
      <c r="C883">
        <v>543503</v>
      </c>
      <c r="D883" t="s">
        <v>1445</v>
      </c>
      <c r="E883" t="s">
        <v>683</v>
      </c>
      <c r="F883" t="s">
        <v>1446</v>
      </c>
      <c r="G883" t="s">
        <v>1447</v>
      </c>
      <c r="H883" t="s">
        <v>999</v>
      </c>
      <c r="I883" t="s">
        <v>1428</v>
      </c>
      <c r="J883" t="s">
        <v>715</v>
      </c>
      <c r="K883" t="s">
        <v>55</v>
      </c>
      <c r="L883" t="s">
        <v>55</v>
      </c>
      <c r="M883" t="s">
        <v>1448</v>
      </c>
    </row>
    <row r="884" spans="1:13" ht="15" customHeight="1" x14ac:dyDescent="0.25">
      <c r="A884" t="s">
        <v>2030</v>
      </c>
      <c r="B884" t="s">
        <v>327</v>
      </c>
      <c r="C884">
        <v>543599</v>
      </c>
      <c r="D884" t="s">
        <v>1449</v>
      </c>
      <c r="E884" t="s">
        <v>1450</v>
      </c>
      <c r="F884" t="s">
        <v>1451</v>
      </c>
      <c r="G884" t="s">
        <v>1452</v>
      </c>
      <c r="H884" t="s">
        <v>999</v>
      </c>
      <c r="I884" t="s">
        <v>1428</v>
      </c>
      <c r="J884" t="s">
        <v>777</v>
      </c>
      <c r="K884" t="s">
        <v>55</v>
      </c>
      <c r="L884" t="s">
        <v>55</v>
      </c>
      <c r="M884" t="s">
        <v>1453</v>
      </c>
    </row>
    <row r="885" spans="1:13" ht="15" customHeight="1" x14ac:dyDescent="0.25">
      <c r="A885" t="s">
        <v>2030</v>
      </c>
      <c r="B885" t="s">
        <v>327</v>
      </c>
      <c r="C885">
        <v>543601</v>
      </c>
      <c r="D885" t="s">
        <v>1331</v>
      </c>
      <c r="E885" t="s">
        <v>1332</v>
      </c>
      <c r="F885" t="s">
        <v>1333</v>
      </c>
      <c r="G885" t="s">
        <v>1334</v>
      </c>
      <c r="H885" t="s">
        <v>1199</v>
      </c>
      <c r="I885" t="s">
        <v>1428</v>
      </c>
      <c r="J885" t="s">
        <v>1335</v>
      </c>
      <c r="K885" t="s">
        <v>55</v>
      </c>
      <c r="L885" t="s">
        <v>55</v>
      </c>
      <c r="M885" t="s">
        <v>1454</v>
      </c>
    </row>
    <row r="886" spans="1:13" ht="15" customHeight="1" x14ac:dyDescent="0.25">
      <c r="A886" t="s">
        <v>2030</v>
      </c>
      <c r="B886" t="s">
        <v>327</v>
      </c>
      <c r="C886">
        <v>543502</v>
      </c>
      <c r="D886" t="s">
        <v>1455</v>
      </c>
      <c r="E886" t="s">
        <v>60</v>
      </c>
      <c r="F886" t="s">
        <v>1456</v>
      </c>
      <c r="G886" t="s">
        <v>1457</v>
      </c>
      <c r="H886" t="s">
        <v>999</v>
      </c>
      <c r="I886" t="s">
        <v>1428</v>
      </c>
      <c r="J886" t="s">
        <v>1458</v>
      </c>
      <c r="K886" t="s">
        <v>55</v>
      </c>
      <c r="L886" t="s">
        <v>55</v>
      </c>
      <c r="M886" t="s">
        <v>1459</v>
      </c>
    </row>
    <row r="887" spans="1:13" ht="15" customHeight="1" x14ac:dyDescent="0.25">
      <c r="A887" t="s">
        <v>2030</v>
      </c>
      <c r="B887" t="s">
        <v>327</v>
      </c>
      <c r="C887">
        <v>543659</v>
      </c>
      <c r="D887" t="s">
        <v>1460</v>
      </c>
      <c r="E887" t="s">
        <v>1461</v>
      </c>
      <c r="F887" t="s">
        <v>1462</v>
      </c>
      <c r="G887" t="s">
        <v>1463</v>
      </c>
      <c r="H887" t="s">
        <v>1464</v>
      </c>
      <c r="I887" t="s">
        <v>1428</v>
      </c>
      <c r="J887" t="s">
        <v>660</v>
      </c>
      <c r="K887" t="s">
        <v>55</v>
      </c>
      <c r="L887" t="s">
        <v>55</v>
      </c>
      <c r="M887" t="s">
        <v>1602</v>
      </c>
    </row>
    <row r="888" spans="1:13" ht="15" customHeight="1" x14ac:dyDescent="0.25">
      <c r="A888" t="s">
        <v>2030</v>
      </c>
      <c r="B888" t="s">
        <v>327</v>
      </c>
      <c r="C888">
        <v>544091</v>
      </c>
      <c r="D888" t="s">
        <v>1466</v>
      </c>
      <c r="E888" t="s">
        <v>1467</v>
      </c>
      <c r="F888" t="s">
        <v>1468</v>
      </c>
      <c r="G888" t="s">
        <v>1469</v>
      </c>
      <c r="H888" t="s">
        <v>1464</v>
      </c>
      <c r="I888" t="s">
        <v>1428</v>
      </c>
      <c r="J888" t="s">
        <v>620</v>
      </c>
      <c r="K888" t="s">
        <v>55</v>
      </c>
      <c r="L888" t="s">
        <v>55</v>
      </c>
      <c r="M888" t="s">
        <v>1826</v>
      </c>
    </row>
    <row r="889" spans="1:13" ht="15" customHeight="1" x14ac:dyDescent="0.25">
      <c r="A889" t="s">
        <v>2030</v>
      </c>
      <c r="B889" t="s">
        <v>327</v>
      </c>
      <c r="C889">
        <v>543509</v>
      </c>
      <c r="D889" t="s">
        <v>1471</v>
      </c>
      <c r="E889" t="s">
        <v>1472</v>
      </c>
      <c r="F889" t="s">
        <v>1473</v>
      </c>
      <c r="G889" t="s">
        <v>1474</v>
      </c>
      <c r="H889" t="s">
        <v>1475</v>
      </c>
      <c r="I889" t="s">
        <v>1428</v>
      </c>
      <c r="J889" t="s">
        <v>1263</v>
      </c>
      <c r="K889" t="s">
        <v>55</v>
      </c>
      <c r="L889" t="s">
        <v>55</v>
      </c>
      <c r="M889" t="s">
        <v>1476</v>
      </c>
    </row>
    <row r="890" spans="1:13" ht="15" customHeight="1" x14ac:dyDescent="0.25">
      <c r="A890" t="s">
        <v>2030</v>
      </c>
      <c r="B890" t="s">
        <v>327</v>
      </c>
      <c r="C890">
        <v>543711</v>
      </c>
      <c r="D890" t="s">
        <v>1477</v>
      </c>
      <c r="E890" t="s">
        <v>1478</v>
      </c>
      <c r="F890" t="s">
        <v>1479</v>
      </c>
      <c r="G890" t="s">
        <v>1480</v>
      </c>
      <c r="H890" t="s">
        <v>1481</v>
      </c>
      <c r="I890" t="s">
        <v>1428</v>
      </c>
      <c r="J890" t="s">
        <v>631</v>
      </c>
      <c r="K890" t="s">
        <v>55</v>
      </c>
      <c r="L890" t="s">
        <v>55</v>
      </c>
      <c r="M890" t="s">
        <v>1482</v>
      </c>
    </row>
    <row r="891" spans="1:13" ht="15" customHeight="1" x14ac:dyDescent="0.25">
      <c r="A891" t="s">
        <v>2030</v>
      </c>
      <c r="B891" t="s">
        <v>327</v>
      </c>
      <c r="C891">
        <v>543499</v>
      </c>
      <c r="D891" t="s">
        <v>1483</v>
      </c>
      <c r="E891" t="s">
        <v>1484</v>
      </c>
      <c r="F891" t="s">
        <v>1485</v>
      </c>
      <c r="G891" t="s">
        <v>1486</v>
      </c>
      <c r="H891" t="s">
        <v>1464</v>
      </c>
      <c r="I891" t="s">
        <v>1428</v>
      </c>
      <c r="J891" t="s">
        <v>751</v>
      </c>
      <c r="K891" t="s">
        <v>55</v>
      </c>
      <c r="L891" t="s">
        <v>55</v>
      </c>
      <c r="M891" t="s">
        <v>1487</v>
      </c>
    </row>
    <row r="892" spans="1:13" ht="15" customHeight="1" x14ac:dyDescent="0.25">
      <c r="A892" t="s">
        <v>2030</v>
      </c>
      <c r="B892" t="s">
        <v>327</v>
      </c>
      <c r="C892">
        <v>543507</v>
      </c>
      <c r="D892" t="s">
        <v>1342</v>
      </c>
      <c r="E892" t="s">
        <v>1346</v>
      </c>
      <c r="F892" t="s">
        <v>1347</v>
      </c>
      <c r="G892" t="s">
        <v>1348</v>
      </c>
      <c r="H892" t="s">
        <v>1199</v>
      </c>
      <c r="I892" t="s">
        <v>1428</v>
      </c>
      <c r="J892" t="s">
        <v>1349</v>
      </c>
      <c r="K892" t="s">
        <v>55</v>
      </c>
      <c r="L892" t="s">
        <v>55</v>
      </c>
      <c r="M892" t="s">
        <v>1429</v>
      </c>
    </row>
    <row r="893" spans="1:13" ht="15" customHeight="1" x14ac:dyDescent="0.25">
      <c r="A893" t="s">
        <v>2030</v>
      </c>
      <c r="B893" t="s">
        <v>327</v>
      </c>
      <c r="C893">
        <v>544117</v>
      </c>
      <c r="D893" t="s">
        <v>1865</v>
      </c>
      <c r="E893" t="s">
        <v>1866</v>
      </c>
      <c r="F893" t="s">
        <v>1867</v>
      </c>
      <c r="G893" t="s">
        <v>1868</v>
      </c>
      <c r="H893" t="s">
        <v>1481</v>
      </c>
      <c r="I893" t="s">
        <v>1428</v>
      </c>
      <c r="J893" t="s">
        <v>715</v>
      </c>
      <c r="K893" t="s">
        <v>55</v>
      </c>
      <c r="L893" t="s">
        <v>55</v>
      </c>
      <c r="M893" t="s">
        <v>1869</v>
      </c>
    </row>
    <row r="894" spans="1:13" ht="15" customHeight="1" x14ac:dyDescent="0.25">
      <c r="A894" t="s">
        <v>2030</v>
      </c>
      <c r="B894" t="s">
        <v>327</v>
      </c>
      <c r="C894">
        <v>543512</v>
      </c>
      <c r="D894" t="s">
        <v>1488</v>
      </c>
      <c r="E894" t="s">
        <v>1489</v>
      </c>
      <c r="F894" t="s">
        <v>1490</v>
      </c>
      <c r="G894" t="s">
        <v>1491</v>
      </c>
      <c r="H894" t="s">
        <v>757</v>
      </c>
      <c r="I894" t="s">
        <v>1428</v>
      </c>
      <c r="J894" t="s">
        <v>770</v>
      </c>
      <c r="K894" t="s">
        <v>55</v>
      </c>
      <c r="L894" t="s">
        <v>55</v>
      </c>
      <c r="M894" t="s">
        <v>1612</v>
      </c>
    </row>
    <row r="895" spans="1:13" ht="15" customHeight="1" x14ac:dyDescent="0.25">
      <c r="A895" t="s">
        <v>2030</v>
      </c>
      <c r="B895" t="s">
        <v>327</v>
      </c>
      <c r="C895">
        <v>543593</v>
      </c>
      <c r="D895" t="s">
        <v>1492</v>
      </c>
      <c r="E895" t="s">
        <v>1493</v>
      </c>
      <c r="F895" t="s">
        <v>1494</v>
      </c>
      <c r="G895" t="s">
        <v>1495</v>
      </c>
      <c r="H895" t="s">
        <v>1199</v>
      </c>
      <c r="I895" t="s">
        <v>1428</v>
      </c>
      <c r="J895" t="s">
        <v>615</v>
      </c>
      <c r="K895" t="s">
        <v>55</v>
      </c>
      <c r="L895" t="s">
        <v>55</v>
      </c>
      <c r="M895" t="s">
        <v>1591</v>
      </c>
    </row>
    <row r="896" spans="1:13" ht="15" customHeight="1" x14ac:dyDescent="0.25">
      <c r="A896" t="s">
        <v>2030</v>
      </c>
      <c r="B896" t="s">
        <v>327</v>
      </c>
      <c r="C896">
        <v>543592</v>
      </c>
      <c r="D896" t="s">
        <v>1492</v>
      </c>
      <c r="E896" t="s">
        <v>1496</v>
      </c>
      <c r="F896" t="s">
        <v>1497</v>
      </c>
      <c r="G896" t="s">
        <v>1498</v>
      </c>
      <c r="H896" t="s">
        <v>1199</v>
      </c>
      <c r="I896" t="s">
        <v>1428</v>
      </c>
      <c r="J896" t="s">
        <v>637</v>
      </c>
      <c r="K896" t="s">
        <v>55</v>
      </c>
      <c r="L896" t="s">
        <v>55</v>
      </c>
      <c r="M896" t="s">
        <v>1453</v>
      </c>
    </row>
    <row r="897" spans="1:13" ht="15" customHeight="1" x14ac:dyDescent="0.25">
      <c r="A897" t="s">
        <v>2030</v>
      </c>
      <c r="B897" t="s">
        <v>327</v>
      </c>
      <c r="C897">
        <v>544128</v>
      </c>
      <c r="D897" t="s">
        <v>1499</v>
      </c>
      <c r="E897" t="s">
        <v>1500</v>
      </c>
      <c r="F897" t="s">
        <v>1501</v>
      </c>
      <c r="G897" t="s">
        <v>1502</v>
      </c>
      <c r="H897" t="s">
        <v>1050</v>
      </c>
      <c r="I897" t="s">
        <v>1428</v>
      </c>
      <c r="J897" t="s">
        <v>1075</v>
      </c>
      <c r="K897" t="s">
        <v>55</v>
      </c>
      <c r="L897" t="s">
        <v>55</v>
      </c>
      <c r="M897" t="s">
        <v>1503</v>
      </c>
    </row>
    <row r="898" spans="1:13" ht="15" customHeight="1" x14ac:dyDescent="0.25">
      <c r="A898" t="s">
        <v>2030</v>
      </c>
      <c r="B898" t="s">
        <v>327</v>
      </c>
      <c r="C898">
        <v>544116</v>
      </c>
      <c r="D898" t="s">
        <v>1849</v>
      </c>
      <c r="E898" t="s">
        <v>1850</v>
      </c>
      <c r="F898" t="s">
        <v>1851</v>
      </c>
      <c r="G898" t="s">
        <v>1852</v>
      </c>
      <c r="H898" t="s">
        <v>999</v>
      </c>
      <c r="I898" t="s">
        <v>1428</v>
      </c>
      <c r="J898" t="s">
        <v>660</v>
      </c>
      <c r="K898" t="s">
        <v>55</v>
      </c>
      <c r="L898" t="s">
        <v>55</v>
      </c>
      <c r="M898" t="s">
        <v>1853</v>
      </c>
    </row>
    <row r="899" spans="1:13" ht="15" customHeight="1" x14ac:dyDescent="0.25">
      <c r="A899" t="s">
        <v>2030</v>
      </c>
      <c r="B899" t="s">
        <v>327</v>
      </c>
      <c r="C899">
        <v>543500</v>
      </c>
      <c r="D899" t="s">
        <v>1504</v>
      </c>
      <c r="E899" t="s">
        <v>1505</v>
      </c>
      <c r="F899" t="s">
        <v>1506</v>
      </c>
      <c r="G899" t="s">
        <v>1507</v>
      </c>
      <c r="H899" t="s">
        <v>1508</v>
      </c>
      <c r="I899" t="s">
        <v>1428</v>
      </c>
      <c r="J899" t="s">
        <v>615</v>
      </c>
      <c r="K899" t="s">
        <v>55</v>
      </c>
      <c r="L899" t="s">
        <v>55</v>
      </c>
      <c r="M899" t="s">
        <v>1509</v>
      </c>
    </row>
    <row r="900" spans="1:13" ht="15" customHeight="1" x14ac:dyDescent="0.25">
      <c r="A900" t="s">
        <v>2030</v>
      </c>
      <c r="B900" t="s">
        <v>327</v>
      </c>
      <c r="C900">
        <v>543668</v>
      </c>
      <c r="D900" t="s">
        <v>1510</v>
      </c>
      <c r="E900" t="s">
        <v>1511</v>
      </c>
      <c r="F900" t="s">
        <v>1512</v>
      </c>
      <c r="G900" t="s">
        <v>1513</v>
      </c>
      <c r="H900" t="s">
        <v>803</v>
      </c>
      <c r="I900" t="s">
        <v>1428</v>
      </c>
      <c r="J900" t="s">
        <v>615</v>
      </c>
      <c r="K900" t="s">
        <v>55</v>
      </c>
      <c r="L900" t="s">
        <v>55</v>
      </c>
      <c r="M900" t="s">
        <v>1826</v>
      </c>
    </row>
    <row r="901" spans="1:13" ht="15" customHeight="1" x14ac:dyDescent="0.25">
      <c r="A901" t="s">
        <v>2030</v>
      </c>
      <c r="B901" t="s">
        <v>327</v>
      </c>
      <c r="C901">
        <v>543596</v>
      </c>
      <c r="D901" t="s">
        <v>1514</v>
      </c>
      <c r="E901" t="s">
        <v>1515</v>
      </c>
      <c r="F901" t="s">
        <v>1516</v>
      </c>
      <c r="G901" t="s">
        <v>1517</v>
      </c>
      <c r="H901" t="s">
        <v>1464</v>
      </c>
      <c r="I901" t="s">
        <v>1428</v>
      </c>
      <c r="J901" t="s">
        <v>615</v>
      </c>
      <c r="K901" t="s">
        <v>55</v>
      </c>
      <c r="L901" t="s">
        <v>55</v>
      </c>
      <c r="M901" t="s">
        <v>1518</v>
      </c>
    </row>
    <row r="902" spans="1:13" ht="15" customHeight="1" x14ac:dyDescent="0.25">
      <c r="A902" t="s">
        <v>2030</v>
      </c>
      <c r="B902" t="s">
        <v>327</v>
      </c>
      <c r="C902">
        <v>543670</v>
      </c>
      <c r="D902" t="s">
        <v>1519</v>
      </c>
      <c r="E902" t="s">
        <v>1520</v>
      </c>
      <c r="F902" t="s">
        <v>1521</v>
      </c>
      <c r="G902" t="s">
        <v>1522</v>
      </c>
      <c r="H902" t="s">
        <v>999</v>
      </c>
      <c r="I902" t="s">
        <v>1428</v>
      </c>
      <c r="J902" t="s">
        <v>1523</v>
      </c>
      <c r="K902" t="s">
        <v>55</v>
      </c>
      <c r="L902" t="s">
        <v>55</v>
      </c>
      <c r="M902" t="s">
        <v>1827</v>
      </c>
    </row>
    <row r="903" spans="1:13" ht="15" customHeight="1" x14ac:dyDescent="0.25">
      <c r="A903" t="s">
        <v>2030</v>
      </c>
      <c r="B903" t="s">
        <v>327</v>
      </c>
      <c r="C903">
        <v>543511</v>
      </c>
      <c r="D903" t="s">
        <v>1525</v>
      </c>
      <c r="E903" t="s">
        <v>800</v>
      </c>
      <c r="F903" t="s">
        <v>1526</v>
      </c>
      <c r="G903" t="s">
        <v>1527</v>
      </c>
      <c r="H903" t="s">
        <v>1008</v>
      </c>
      <c r="I903" t="s">
        <v>1428</v>
      </c>
      <c r="J903" t="s">
        <v>615</v>
      </c>
      <c r="K903" t="s">
        <v>55</v>
      </c>
      <c r="L903" t="s">
        <v>55</v>
      </c>
      <c r="M903" t="s">
        <v>1454</v>
      </c>
    </row>
    <row r="904" spans="1:13" ht="15" customHeight="1" x14ac:dyDescent="0.25">
      <c r="A904" t="s">
        <v>2030</v>
      </c>
      <c r="B904" t="s">
        <v>327</v>
      </c>
      <c r="C904">
        <v>544114</v>
      </c>
      <c r="D904" t="s">
        <v>1854</v>
      </c>
      <c r="E904" t="s">
        <v>1855</v>
      </c>
      <c r="F904" t="s">
        <v>1856</v>
      </c>
      <c r="G904" t="s">
        <v>1857</v>
      </c>
      <c r="H904" t="s">
        <v>1464</v>
      </c>
      <c r="I904" t="s">
        <v>1428</v>
      </c>
      <c r="J904" t="s">
        <v>609</v>
      </c>
      <c r="K904" t="s">
        <v>55</v>
      </c>
      <c r="L904" t="s">
        <v>55</v>
      </c>
      <c r="M904" t="s">
        <v>1858</v>
      </c>
    </row>
    <row r="905" spans="1:13" ht="15" customHeight="1" x14ac:dyDescent="0.25">
      <c r="A905" t="s">
        <v>2030</v>
      </c>
      <c r="B905" t="s">
        <v>327</v>
      </c>
      <c r="C905">
        <v>543597</v>
      </c>
      <c r="D905" t="s">
        <v>1528</v>
      </c>
      <c r="E905" t="s">
        <v>1529</v>
      </c>
      <c r="F905" t="s">
        <v>1530</v>
      </c>
      <c r="G905" t="s">
        <v>1531</v>
      </c>
      <c r="H905" t="s">
        <v>999</v>
      </c>
      <c r="I905" t="s">
        <v>1428</v>
      </c>
      <c r="J905" t="s">
        <v>609</v>
      </c>
      <c r="K905" t="s">
        <v>55</v>
      </c>
      <c r="L905" t="s">
        <v>55</v>
      </c>
      <c r="M905" t="s">
        <v>1421</v>
      </c>
    </row>
    <row r="906" spans="1:13" ht="15" customHeight="1" x14ac:dyDescent="0.25">
      <c r="A906" t="s">
        <v>2030</v>
      </c>
      <c r="B906" t="s">
        <v>327</v>
      </c>
      <c r="C906">
        <v>543669</v>
      </c>
      <c r="D906" t="s">
        <v>1532</v>
      </c>
      <c r="E906" t="s">
        <v>1533</v>
      </c>
      <c r="F906" t="s">
        <v>1534</v>
      </c>
      <c r="G906" t="s">
        <v>1535</v>
      </c>
      <c r="H906" t="s">
        <v>1481</v>
      </c>
      <c r="I906" t="s">
        <v>1428</v>
      </c>
      <c r="J906" t="s">
        <v>631</v>
      </c>
      <c r="K906" t="s">
        <v>55</v>
      </c>
      <c r="L906" t="s">
        <v>55</v>
      </c>
      <c r="M906" t="s">
        <v>1536</v>
      </c>
    </row>
    <row r="907" spans="1:13" ht="15" customHeight="1" x14ac:dyDescent="0.25">
      <c r="A907" t="s">
        <v>2030</v>
      </c>
      <c r="B907" t="s">
        <v>327</v>
      </c>
      <c r="C907">
        <v>543591</v>
      </c>
      <c r="D907" t="s">
        <v>1537</v>
      </c>
      <c r="E907" t="s">
        <v>1538</v>
      </c>
      <c r="F907" t="s">
        <v>1539</v>
      </c>
      <c r="G907" t="s">
        <v>1540</v>
      </c>
      <c r="H907" t="s">
        <v>999</v>
      </c>
      <c r="I907" t="s">
        <v>1428</v>
      </c>
      <c r="J907" t="s">
        <v>1541</v>
      </c>
      <c r="K907" t="s">
        <v>55</v>
      </c>
      <c r="L907" t="s">
        <v>55</v>
      </c>
      <c r="M907" t="s">
        <v>1448</v>
      </c>
    </row>
    <row r="908" spans="1:13" ht="15" customHeight="1" x14ac:dyDescent="0.25">
      <c r="A908" t="s">
        <v>2030</v>
      </c>
      <c r="B908" t="s">
        <v>327</v>
      </c>
      <c r="C908">
        <v>544113</v>
      </c>
      <c r="D908" t="s">
        <v>1036</v>
      </c>
      <c r="E908" t="s">
        <v>1064</v>
      </c>
      <c r="F908" t="s">
        <v>1859</v>
      </c>
      <c r="G908" t="s">
        <v>1860</v>
      </c>
      <c r="H908" t="s">
        <v>999</v>
      </c>
      <c r="I908" t="s">
        <v>1428</v>
      </c>
      <c r="J908" t="s">
        <v>777</v>
      </c>
      <c r="K908" t="s">
        <v>55</v>
      </c>
      <c r="L908" t="s">
        <v>55</v>
      </c>
      <c r="M908" t="s">
        <v>1503</v>
      </c>
    </row>
    <row r="909" spans="1:13" ht="15" customHeight="1" x14ac:dyDescent="0.25">
      <c r="A909" t="s">
        <v>2030</v>
      </c>
      <c r="B909" t="s">
        <v>327</v>
      </c>
      <c r="C909">
        <v>543608</v>
      </c>
      <c r="D909" t="s">
        <v>1543</v>
      </c>
      <c r="E909" t="s">
        <v>1544</v>
      </c>
      <c r="F909" t="s">
        <v>1545</v>
      </c>
      <c r="G909" t="s">
        <v>1546</v>
      </c>
      <c r="H909" t="s">
        <v>999</v>
      </c>
      <c r="I909" t="s">
        <v>1428</v>
      </c>
      <c r="J909" t="s">
        <v>927</v>
      </c>
      <c r="K909" t="s">
        <v>55</v>
      </c>
      <c r="L909" t="s">
        <v>55</v>
      </c>
      <c r="M909" t="s">
        <v>1547</v>
      </c>
    </row>
    <row r="910" spans="1:13" ht="15" customHeight="1" x14ac:dyDescent="0.25">
      <c r="A910" t="s">
        <v>2030</v>
      </c>
      <c r="B910" t="s">
        <v>327</v>
      </c>
      <c r="C910">
        <v>543600</v>
      </c>
      <c r="D910" t="s">
        <v>1543</v>
      </c>
      <c r="E910" t="s">
        <v>1548</v>
      </c>
      <c r="F910" t="s">
        <v>1549</v>
      </c>
      <c r="G910" t="s">
        <v>1550</v>
      </c>
      <c r="H910" t="s">
        <v>999</v>
      </c>
      <c r="I910" t="s">
        <v>1428</v>
      </c>
      <c r="J910" t="s">
        <v>1551</v>
      </c>
      <c r="K910" t="s">
        <v>55</v>
      </c>
      <c r="L910" t="s">
        <v>55</v>
      </c>
      <c r="M910" t="s">
        <v>1552</v>
      </c>
    </row>
    <row r="911" spans="1:13" ht="15" customHeight="1" x14ac:dyDescent="0.25">
      <c r="A911" t="s">
        <v>2030</v>
      </c>
      <c r="B911" t="s">
        <v>327</v>
      </c>
      <c r="C911">
        <v>543513</v>
      </c>
      <c r="D911" t="s">
        <v>1046</v>
      </c>
      <c r="E911" t="s">
        <v>1047</v>
      </c>
      <c r="F911" t="s">
        <v>1048</v>
      </c>
      <c r="G911" t="s">
        <v>1049</v>
      </c>
      <c r="H911" t="s">
        <v>1050</v>
      </c>
      <c r="I911" t="s">
        <v>1428</v>
      </c>
      <c r="J911" t="s">
        <v>1051</v>
      </c>
      <c r="K911" t="s">
        <v>55</v>
      </c>
      <c r="L911" t="s">
        <v>55</v>
      </c>
      <c r="M911" t="s">
        <v>1553</v>
      </c>
    </row>
    <row r="912" spans="1:13" ht="15" customHeight="1" x14ac:dyDescent="0.25">
      <c r="A912" t="s">
        <v>2030</v>
      </c>
      <c r="B912" t="s">
        <v>327</v>
      </c>
      <c r="C912">
        <v>544088</v>
      </c>
      <c r="D912" t="s">
        <v>1554</v>
      </c>
      <c r="E912" t="s">
        <v>1555</v>
      </c>
      <c r="F912" t="s">
        <v>1556</v>
      </c>
      <c r="G912" t="s">
        <v>1557</v>
      </c>
      <c r="H912" t="s">
        <v>1481</v>
      </c>
      <c r="I912" t="s">
        <v>1428</v>
      </c>
      <c r="J912" t="s">
        <v>620</v>
      </c>
      <c r="K912" t="s">
        <v>55</v>
      </c>
      <c r="L912" t="s">
        <v>55</v>
      </c>
      <c r="M912" t="s">
        <v>1861</v>
      </c>
    </row>
    <row r="913" spans="1:13" ht="15" customHeight="1" x14ac:dyDescent="0.25">
      <c r="A913" t="s">
        <v>2030</v>
      </c>
      <c r="B913" t="s">
        <v>327</v>
      </c>
      <c r="C913">
        <v>544093</v>
      </c>
      <c r="D913" t="s">
        <v>1559</v>
      </c>
      <c r="E913" t="s">
        <v>1560</v>
      </c>
      <c r="F913" t="s">
        <v>1561</v>
      </c>
      <c r="G913" t="s">
        <v>1562</v>
      </c>
      <c r="H913" t="s">
        <v>999</v>
      </c>
      <c r="I913" t="s">
        <v>1428</v>
      </c>
      <c r="J913" t="s">
        <v>637</v>
      </c>
      <c r="K913" t="s">
        <v>55</v>
      </c>
      <c r="L913" t="s">
        <v>55</v>
      </c>
      <c r="M913" t="s">
        <v>1862</v>
      </c>
    </row>
    <row r="914" spans="1:13" ht="15" customHeight="1" x14ac:dyDescent="0.25">
      <c r="A914" t="s">
        <v>2030</v>
      </c>
      <c r="B914" t="s">
        <v>327</v>
      </c>
      <c r="C914">
        <v>544092</v>
      </c>
      <c r="D914" t="s">
        <v>1564</v>
      </c>
      <c r="E914" t="s">
        <v>1565</v>
      </c>
      <c r="F914" t="s">
        <v>1566</v>
      </c>
      <c r="G914" t="s">
        <v>1567</v>
      </c>
      <c r="H914" t="s">
        <v>999</v>
      </c>
      <c r="I914" t="s">
        <v>1428</v>
      </c>
      <c r="J914" t="s">
        <v>1568</v>
      </c>
      <c r="K914" t="s">
        <v>55</v>
      </c>
      <c r="L914" t="s">
        <v>55</v>
      </c>
      <c r="M914" t="s">
        <v>1569</v>
      </c>
    </row>
    <row r="915" spans="1:13" ht="15" customHeight="1" x14ac:dyDescent="0.25">
      <c r="A915" t="s">
        <v>2030</v>
      </c>
      <c r="B915" t="s">
        <v>327</v>
      </c>
      <c r="C915">
        <v>543811</v>
      </c>
      <c r="D915" t="s">
        <v>1570</v>
      </c>
      <c r="E915" t="s">
        <v>1571</v>
      </c>
      <c r="F915" t="s">
        <v>1572</v>
      </c>
      <c r="G915" t="s">
        <v>1573</v>
      </c>
      <c r="H915" t="s">
        <v>1464</v>
      </c>
      <c r="I915" t="s">
        <v>1428</v>
      </c>
      <c r="J915" t="s">
        <v>615</v>
      </c>
      <c r="K915" t="s">
        <v>55</v>
      </c>
      <c r="L915" t="s">
        <v>55</v>
      </c>
      <c r="M915" t="s">
        <v>1612</v>
      </c>
    </row>
    <row r="916" spans="1:13" ht="15" customHeight="1" x14ac:dyDescent="0.25">
      <c r="A916" t="s">
        <v>2030</v>
      </c>
      <c r="B916" t="s">
        <v>327</v>
      </c>
      <c r="C916">
        <v>544109</v>
      </c>
      <c r="D916" t="s">
        <v>1829</v>
      </c>
      <c r="E916" t="s">
        <v>891</v>
      </c>
      <c r="F916" t="s">
        <v>892</v>
      </c>
      <c r="G916" t="s">
        <v>893</v>
      </c>
      <c r="H916" t="s">
        <v>1830</v>
      </c>
      <c r="I916" t="s">
        <v>1428</v>
      </c>
      <c r="J916" t="s">
        <v>660</v>
      </c>
      <c r="K916" t="s">
        <v>55</v>
      </c>
      <c r="L916" t="s">
        <v>55</v>
      </c>
      <c r="M916" t="s">
        <v>1476</v>
      </c>
    </row>
    <row r="917" spans="1:13" ht="15" customHeight="1" x14ac:dyDescent="0.25">
      <c r="A917" t="s">
        <v>2030</v>
      </c>
      <c r="B917" t="s">
        <v>327</v>
      </c>
      <c r="C917">
        <v>543712</v>
      </c>
      <c r="D917" t="s">
        <v>1574</v>
      </c>
      <c r="E917" t="s">
        <v>1575</v>
      </c>
      <c r="F917" t="s">
        <v>1576</v>
      </c>
      <c r="G917" t="s">
        <v>1577</v>
      </c>
      <c r="H917" t="s">
        <v>1199</v>
      </c>
      <c r="I917" t="s">
        <v>1428</v>
      </c>
      <c r="J917" t="s">
        <v>631</v>
      </c>
      <c r="K917" t="s">
        <v>55</v>
      </c>
      <c r="L917" t="s">
        <v>55</v>
      </c>
      <c r="M917" t="s">
        <v>1639</v>
      </c>
    </row>
    <row r="918" spans="1:13" ht="15" customHeight="1" x14ac:dyDescent="0.25">
      <c r="A918" t="s">
        <v>2030</v>
      </c>
      <c r="B918" t="s">
        <v>327</v>
      </c>
      <c r="C918">
        <v>543658</v>
      </c>
      <c r="D918" t="s">
        <v>1578</v>
      </c>
      <c r="E918" t="s">
        <v>891</v>
      </c>
      <c r="F918" t="s">
        <v>1579</v>
      </c>
      <c r="G918" t="s">
        <v>1580</v>
      </c>
      <c r="H918" t="s">
        <v>1008</v>
      </c>
      <c r="I918" t="s">
        <v>1428</v>
      </c>
      <c r="J918" t="s">
        <v>715</v>
      </c>
      <c r="K918" t="s">
        <v>55</v>
      </c>
      <c r="L918" t="s">
        <v>55</v>
      </c>
      <c r="M918" t="s">
        <v>1581</v>
      </c>
    </row>
    <row r="919" spans="1:13" ht="15" customHeight="1" x14ac:dyDescent="0.25">
      <c r="A919" t="s">
        <v>2030</v>
      </c>
      <c r="B919" t="s">
        <v>327</v>
      </c>
      <c r="C919">
        <v>543657</v>
      </c>
      <c r="D919" t="s">
        <v>1582</v>
      </c>
      <c r="E919" t="s">
        <v>1583</v>
      </c>
      <c r="F919" t="s">
        <v>1584</v>
      </c>
      <c r="G919" t="s">
        <v>1585</v>
      </c>
      <c r="H919" t="s">
        <v>911</v>
      </c>
      <c r="I919" t="s">
        <v>1428</v>
      </c>
      <c r="J919" t="s">
        <v>631</v>
      </c>
      <c r="K919" t="s">
        <v>55</v>
      </c>
      <c r="L919" t="s">
        <v>55</v>
      </c>
      <c r="M919" t="s">
        <v>1586</v>
      </c>
    </row>
    <row r="920" spans="1:13" ht="15" customHeight="1" x14ac:dyDescent="0.25">
      <c r="A920" t="s">
        <v>2030</v>
      </c>
      <c r="B920" t="s">
        <v>327</v>
      </c>
      <c r="C920">
        <v>543656</v>
      </c>
      <c r="D920" t="s">
        <v>1587</v>
      </c>
      <c r="E920" t="s">
        <v>1588</v>
      </c>
      <c r="F920" t="s">
        <v>1589</v>
      </c>
      <c r="G920" t="s">
        <v>1590</v>
      </c>
      <c r="H920" t="s">
        <v>911</v>
      </c>
      <c r="I920" t="s">
        <v>1428</v>
      </c>
      <c r="J920" t="s">
        <v>631</v>
      </c>
      <c r="K920" t="s">
        <v>55</v>
      </c>
      <c r="L920" t="s">
        <v>55</v>
      </c>
      <c r="M920" t="s">
        <v>1586</v>
      </c>
    </row>
    <row r="921" spans="1:13" ht="15" customHeight="1" x14ac:dyDescent="0.25">
      <c r="A921" t="s">
        <v>2030</v>
      </c>
      <c r="B921" t="s">
        <v>327</v>
      </c>
      <c r="C921">
        <v>543514</v>
      </c>
      <c r="D921" t="s">
        <v>1162</v>
      </c>
      <c r="E921" t="s">
        <v>1163</v>
      </c>
      <c r="F921" t="s">
        <v>1164</v>
      </c>
      <c r="G921" t="s">
        <v>1165</v>
      </c>
      <c r="H921" t="s">
        <v>999</v>
      </c>
      <c r="I921" t="s">
        <v>1428</v>
      </c>
      <c r="J921" t="s">
        <v>596</v>
      </c>
      <c r="K921" t="s">
        <v>55</v>
      </c>
      <c r="L921" t="s">
        <v>55</v>
      </c>
      <c r="M921" t="s">
        <v>1863</v>
      </c>
    </row>
    <row r="922" spans="1:13" ht="15" customHeight="1" x14ac:dyDescent="0.25">
      <c r="A922" t="s">
        <v>2030</v>
      </c>
      <c r="B922" t="s">
        <v>327</v>
      </c>
      <c r="C922">
        <v>543661</v>
      </c>
      <c r="D922" t="s">
        <v>1592</v>
      </c>
      <c r="E922" t="s">
        <v>1593</v>
      </c>
      <c r="F922" t="s">
        <v>1594</v>
      </c>
      <c r="G922" t="s">
        <v>1595</v>
      </c>
      <c r="H922" t="s">
        <v>1596</v>
      </c>
      <c r="I922" t="s">
        <v>1428</v>
      </c>
      <c r="J922" t="s">
        <v>603</v>
      </c>
      <c r="K922" t="s">
        <v>55</v>
      </c>
      <c r="L922" t="s">
        <v>55</v>
      </c>
      <c r="M922" t="s">
        <v>1597</v>
      </c>
    </row>
    <row r="923" spans="1:13" ht="15" customHeight="1" x14ac:dyDescent="0.25">
      <c r="A923" t="s">
        <v>2030</v>
      </c>
      <c r="B923" t="s">
        <v>327</v>
      </c>
      <c r="C923">
        <v>543501</v>
      </c>
      <c r="D923" t="s">
        <v>1598</v>
      </c>
      <c r="E923" t="s">
        <v>1599</v>
      </c>
      <c r="F923" t="s">
        <v>1600</v>
      </c>
      <c r="G923" t="s">
        <v>1601</v>
      </c>
      <c r="H923" t="s">
        <v>999</v>
      </c>
      <c r="I923" t="s">
        <v>1428</v>
      </c>
      <c r="J923" t="s">
        <v>615</v>
      </c>
      <c r="K923" t="s">
        <v>55</v>
      </c>
      <c r="L923" t="s">
        <v>55</v>
      </c>
      <c r="M923" t="s">
        <v>1465</v>
      </c>
    </row>
    <row r="924" spans="1:13" ht="15" customHeight="1" x14ac:dyDescent="0.25">
      <c r="A924" t="s">
        <v>2030</v>
      </c>
      <c r="B924" t="s">
        <v>327</v>
      </c>
      <c r="C924">
        <v>543594</v>
      </c>
      <c r="D924" t="s">
        <v>1603</v>
      </c>
      <c r="E924" t="s">
        <v>1604</v>
      </c>
      <c r="F924" t="s">
        <v>1605</v>
      </c>
      <c r="G924" t="s">
        <v>1606</v>
      </c>
      <c r="H924" t="s">
        <v>1377</v>
      </c>
      <c r="I924" t="s">
        <v>1428</v>
      </c>
      <c r="J924" t="s">
        <v>631</v>
      </c>
      <c r="K924" t="s">
        <v>55</v>
      </c>
      <c r="L924" t="s">
        <v>55</v>
      </c>
      <c r="M924" t="s">
        <v>1607</v>
      </c>
    </row>
    <row r="925" spans="1:13" ht="15" customHeight="1" x14ac:dyDescent="0.25">
      <c r="A925" t="s">
        <v>2030</v>
      </c>
      <c r="B925" t="s">
        <v>327</v>
      </c>
      <c r="C925">
        <v>544095</v>
      </c>
      <c r="D925" t="s">
        <v>1608</v>
      </c>
      <c r="E925" t="s">
        <v>1609</v>
      </c>
      <c r="F925" t="s">
        <v>1610</v>
      </c>
      <c r="G925" t="s">
        <v>1611</v>
      </c>
      <c r="H925" t="s">
        <v>999</v>
      </c>
      <c r="I925" t="s">
        <v>1428</v>
      </c>
      <c r="J925" t="s">
        <v>751</v>
      </c>
      <c r="K925" t="s">
        <v>55</v>
      </c>
      <c r="L925" t="s">
        <v>55</v>
      </c>
      <c r="M925" t="s">
        <v>1454</v>
      </c>
    </row>
    <row r="926" spans="1:13" ht="15" customHeight="1" x14ac:dyDescent="0.25">
      <c r="A926" t="s">
        <v>2030</v>
      </c>
      <c r="B926" t="s">
        <v>327</v>
      </c>
      <c r="C926">
        <v>543504</v>
      </c>
      <c r="D926" t="s">
        <v>1613</v>
      </c>
      <c r="E926" t="s">
        <v>1614</v>
      </c>
      <c r="F926" t="s">
        <v>1615</v>
      </c>
      <c r="G926" t="s">
        <v>1616</v>
      </c>
      <c r="H926" t="s">
        <v>1199</v>
      </c>
      <c r="I926" t="s">
        <v>1428</v>
      </c>
      <c r="J926" t="s">
        <v>620</v>
      </c>
      <c r="K926" t="s">
        <v>55</v>
      </c>
      <c r="L926" t="s">
        <v>55</v>
      </c>
      <c r="M926" t="s">
        <v>1617</v>
      </c>
    </row>
    <row r="927" spans="1:13" ht="15" customHeight="1" x14ac:dyDescent="0.25">
      <c r="A927" t="s">
        <v>2030</v>
      </c>
      <c r="B927" t="s">
        <v>327</v>
      </c>
      <c r="C927">
        <v>543508</v>
      </c>
      <c r="D927" t="s">
        <v>1409</v>
      </c>
      <c r="E927" t="s">
        <v>1618</v>
      </c>
      <c r="F927" t="s">
        <v>1619</v>
      </c>
      <c r="G927" t="s">
        <v>1620</v>
      </c>
      <c r="H927" t="s">
        <v>1199</v>
      </c>
      <c r="I927" t="s">
        <v>1428</v>
      </c>
      <c r="J927" t="s">
        <v>1621</v>
      </c>
      <c r="K927" t="s">
        <v>55</v>
      </c>
      <c r="L927" t="s">
        <v>55</v>
      </c>
      <c r="M927" t="s">
        <v>1622</v>
      </c>
    </row>
    <row r="928" spans="1:13" ht="15" customHeight="1" x14ac:dyDescent="0.25">
      <c r="A928" t="s">
        <v>2030</v>
      </c>
      <c r="B928" t="s">
        <v>327</v>
      </c>
      <c r="C928">
        <v>543510</v>
      </c>
      <c r="D928" t="s">
        <v>1623</v>
      </c>
      <c r="E928" t="s">
        <v>1627</v>
      </c>
      <c r="F928" t="s">
        <v>1628</v>
      </c>
      <c r="G928" t="s">
        <v>1629</v>
      </c>
      <c r="H928" t="s">
        <v>1475</v>
      </c>
      <c r="I928" t="s">
        <v>1428</v>
      </c>
      <c r="J928" t="s">
        <v>620</v>
      </c>
      <c r="K928" t="s">
        <v>55</v>
      </c>
      <c r="L928" t="s">
        <v>55</v>
      </c>
      <c r="M928" t="s">
        <v>1617</v>
      </c>
    </row>
    <row r="929" spans="1:13" ht="15" customHeight="1" x14ac:dyDescent="0.25">
      <c r="A929" t="s">
        <v>2030</v>
      </c>
      <c r="B929" t="s">
        <v>327</v>
      </c>
      <c r="C929">
        <v>543505</v>
      </c>
      <c r="D929" t="s">
        <v>1623</v>
      </c>
      <c r="E929" t="s">
        <v>1624</v>
      </c>
      <c r="F929" t="s">
        <v>1625</v>
      </c>
      <c r="G929" t="s">
        <v>1626</v>
      </c>
      <c r="H929" t="s">
        <v>1475</v>
      </c>
      <c r="I929" t="s">
        <v>1428</v>
      </c>
      <c r="J929" t="s">
        <v>620</v>
      </c>
      <c r="K929" t="s">
        <v>55</v>
      </c>
      <c r="L929" t="s">
        <v>55</v>
      </c>
      <c r="M929" t="s">
        <v>1547</v>
      </c>
    </row>
    <row r="930" spans="1:13" ht="15" customHeight="1" x14ac:dyDescent="0.25">
      <c r="A930" t="s">
        <v>2030</v>
      </c>
      <c r="B930" t="s">
        <v>327</v>
      </c>
      <c r="C930">
        <v>543660</v>
      </c>
      <c r="D930" t="s">
        <v>1630</v>
      </c>
      <c r="E930" t="s">
        <v>1631</v>
      </c>
      <c r="F930" t="s">
        <v>1632</v>
      </c>
      <c r="G930" t="s">
        <v>1633</v>
      </c>
      <c r="H930" t="s">
        <v>1199</v>
      </c>
      <c r="I930" t="s">
        <v>1428</v>
      </c>
      <c r="J930" t="s">
        <v>620</v>
      </c>
      <c r="K930" t="s">
        <v>55</v>
      </c>
      <c r="L930" t="s">
        <v>55</v>
      </c>
      <c r="M930" t="s">
        <v>1634</v>
      </c>
    </row>
    <row r="931" spans="1:13" ht="15" customHeight="1" x14ac:dyDescent="0.25">
      <c r="A931" t="s">
        <v>2030</v>
      </c>
      <c r="B931" t="s">
        <v>327</v>
      </c>
      <c r="C931">
        <v>544094</v>
      </c>
      <c r="D931" t="s">
        <v>1635</v>
      </c>
      <c r="E931" t="s">
        <v>1636</v>
      </c>
      <c r="F931" t="s">
        <v>1637</v>
      </c>
      <c r="G931" t="s">
        <v>1638</v>
      </c>
      <c r="H931" t="s">
        <v>999</v>
      </c>
      <c r="I931" t="s">
        <v>1428</v>
      </c>
      <c r="J931" t="s">
        <v>631</v>
      </c>
      <c r="K931" t="s">
        <v>55</v>
      </c>
      <c r="L931" t="s">
        <v>55</v>
      </c>
      <c r="M931" t="s">
        <v>1470</v>
      </c>
    </row>
    <row r="932" spans="1:13" ht="15" customHeight="1" x14ac:dyDescent="0.25">
      <c r="A932" t="s">
        <v>2030</v>
      </c>
      <c r="B932" t="s">
        <v>327</v>
      </c>
      <c r="C932">
        <v>543515</v>
      </c>
      <c r="D932" t="s">
        <v>1288</v>
      </c>
      <c r="E932" t="s">
        <v>1289</v>
      </c>
      <c r="F932" t="s">
        <v>1290</v>
      </c>
      <c r="G932" t="s">
        <v>1291</v>
      </c>
      <c r="H932" t="s">
        <v>803</v>
      </c>
      <c r="I932" t="s">
        <v>1428</v>
      </c>
      <c r="J932" t="s">
        <v>927</v>
      </c>
      <c r="K932" t="s">
        <v>55</v>
      </c>
      <c r="L932" t="s">
        <v>55</v>
      </c>
      <c r="M932" t="s">
        <v>1640</v>
      </c>
    </row>
    <row r="933" spans="1:13" ht="15" customHeight="1" x14ac:dyDescent="0.25">
      <c r="A933" t="s">
        <v>2030</v>
      </c>
      <c r="B933" t="s">
        <v>327</v>
      </c>
      <c r="C933">
        <v>543516</v>
      </c>
      <c r="D933" t="s">
        <v>1641</v>
      </c>
      <c r="E933" t="s">
        <v>1642</v>
      </c>
      <c r="F933" t="s">
        <v>1643</v>
      </c>
      <c r="G933" t="s">
        <v>1644</v>
      </c>
      <c r="H933" t="s">
        <v>999</v>
      </c>
      <c r="I933" t="s">
        <v>1428</v>
      </c>
      <c r="J933" t="s">
        <v>1645</v>
      </c>
      <c r="K933" t="s">
        <v>55</v>
      </c>
      <c r="L933" t="s">
        <v>55</v>
      </c>
      <c r="M933" t="s">
        <v>1421</v>
      </c>
    </row>
    <row r="934" spans="1:13" ht="15" customHeight="1" x14ac:dyDescent="0.25">
      <c r="A934" t="s">
        <v>2031</v>
      </c>
      <c r="B934" t="s">
        <v>327</v>
      </c>
      <c r="C934">
        <v>544069</v>
      </c>
      <c r="D934" t="s">
        <v>1424</v>
      </c>
      <c r="E934" t="s">
        <v>1425</v>
      </c>
      <c r="F934" t="s">
        <v>1426</v>
      </c>
      <c r="G934" t="s">
        <v>1427</v>
      </c>
      <c r="H934" t="s">
        <v>1199</v>
      </c>
      <c r="I934" t="s">
        <v>1428</v>
      </c>
      <c r="J934" t="s">
        <v>770</v>
      </c>
      <c r="K934" t="s">
        <v>55</v>
      </c>
      <c r="L934" t="s">
        <v>55</v>
      </c>
      <c r="M934" t="s">
        <v>1429</v>
      </c>
    </row>
    <row r="935" spans="1:13" ht="15" customHeight="1" x14ac:dyDescent="0.25">
      <c r="A935" t="s">
        <v>2031</v>
      </c>
      <c r="B935" t="s">
        <v>327</v>
      </c>
      <c r="C935">
        <v>544090</v>
      </c>
      <c r="D935" t="s">
        <v>1430</v>
      </c>
      <c r="E935" t="s">
        <v>1431</v>
      </c>
      <c r="F935" t="s">
        <v>1432</v>
      </c>
      <c r="G935" t="s">
        <v>1433</v>
      </c>
      <c r="H935" t="s">
        <v>999</v>
      </c>
      <c r="I935" t="s">
        <v>1428</v>
      </c>
      <c r="J935" t="s">
        <v>1305</v>
      </c>
      <c r="K935" t="s">
        <v>55</v>
      </c>
      <c r="L935" t="s">
        <v>55</v>
      </c>
      <c r="M935" t="s">
        <v>1847</v>
      </c>
    </row>
    <row r="936" spans="1:13" ht="15" customHeight="1" x14ac:dyDescent="0.25">
      <c r="A936" t="s">
        <v>2031</v>
      </c>
      <c r="B936" t="s">
        <v>327</v>
      </c>
      <c r="C936">
        <v>543655</v>
      </c>
      <c r="D936" t="s">
        <v>1435</v>
      </c>
      <c r="E936" t="s">
        <v>1436</v>
      </c>
      <c r="F936" t="s">
        <v>1437</v>
      </c>
      <c r="G936" t="s">
        <v>1438</v>
      </c>
      <c r="H936" t="s">
        <v>1008</v>
      </c>
      <c r="I936" t="s">
        <v>1428</v>
      </c>
      <c r="J936" t="s">
        <v>809</v>
      </c>
      <c r="K936" t="s">
        <v>55</v>
      </c>
      <c r="L936" t="s">
        <v>55</v>
      </c>
      <c r="M936" t="s">
        <v>1848</v>
      </c>
    </row>
    <row r="937" spans="1:13" ht="15" customHeight="1" x14ac:dyDescent="0.25">
      <c r="A937" t="s">
        <v>2031</v>
      </c>
      <c r="B937" t="s">
        <v>327</v>
      </c>
      <c r="C937">
        <v>543710</v>
      </c>
      <c r="D937" t="s">
        <v>1440</v>
      </c>
      <c r="E937" t="s">
        <v>1441</v>
      </c>
      <c r="F937" t="s">
        <v>1442</v>
      </c>
      <c r="G937" t="s">
        <v>1443</v>
      </c>
      <c r="H937" t="s">
        <v>999</v>
      </c>
      <c r="I937" t="s">
        <v>1428</v>
      </c>
      <c r="J937" t="s">
        <v>609</v>
      </c>
      <c r="K937" t="s">
        <v>55</v>
      </c>
      <c r="L937" t="s">
        <v>55</v>
      </c>
      <c r="M937" t="s">
        <v>1569</v>
      </c>
    </row>
    <row r="938" spans="1:13" ht="15" customHeight="1" x14ac:dyDescent="0.25">
      <c r="A938" t="s">
        <v>2031</v>
      </c>
      <c r="B938" t="s">
        <v>327</v>
      </c>
      <c r="C938">
        <v>543503</v>
      </c>
      <c r="D938" t="s">
        <v>1445</v>
      </c>
      <c r="E938" t="s">
        <v>683</v>
      </c>
      <c r="F938" t="s">
        <v>1446</v>
      </c>
      <c r="G938" t="s">
        <v>1447</v>
      </c>
      <c r="H938" t="s">
        <v>999</v>
      </c>
      <c r="I938" t="s">
        <v>1428</v>
      </c>
      <c r="J938" t="s">
        <v>715</v>
      </c>
      <c r="K938" t="s">
        <v>55</v>
      </c>
      <c r="L938" t="s">
        <v>55</v>
      </c>
      <c r="M938" t="s">
        <v>1448</v>
      </c>
    </row>
    <row r="939" spans="1:13" ht="15" customHeight="1" x14ac:dyDescent="0.25">
      <c r="A939" t="s">
        <v>2031</v>
      </c>
      <c r="B939" t="s">
        <v>327</v>
      </c>
      <c r="C939">
        <v>543599</v>
      </c>
      <c r="D939" t="s">
        <v>1449</v>
      </c>
      <c r="E939" t="s">
        <v>1450</v>
      </c>
      <c r="F939" t="s">
        <v>1451</v>
      </c>
      <c r="G939" t="s">
        <v>1452</v>
      </c>
      <c r="H939" t="s">
        <v>999</v>
      </c>
      <c r="I939" t="s">
        <v>1428</v>
      </c>
      <c r="J939" t="s">
        <v>777</v>
      </c>
      <c r="K939" t="s">
        <v>55</v>
      </c>
      <c r="L939" t="s">
        <v>55</v>
      </c>
      <c r="M939" t="s">
        <v>1453</v>
      </c>
    </row>
    <row r="940" spans="1:13" ht="15" customHeight="1" x14ac:dyDescent="0.25">
      <c r="A940" t="s">
        <v>2031</v>
      </c>
      <c r="B940" t="s">
        <v>327</v>
      </c>
      <c r="C940">
        <v>543601</v>
      </c>
      <c r="D940" t="s">
        <v>1331</v>
      </c>
      <c r="E940" t="s">
        <v>1332</v>
      </c>
      <c r="F940" t="s">
        <v>1333</v>
      </c>
      <c r="G940" t="s">
        <v>1334</v>
      </c>
      <c r="H940" t="s">
        <v>1199</v>
      </c>
      <c r="I940" t="s">
        <v>1428</v>
      </c>
      <c r="J940" t="s">
        <v>1335</v>
      </c>
      <c r="K940" t="s">
        <v>55</v>
      </c>
      <c r="L940" t="s">
        <v>55</v>
      </c>
      <c r="M940" t="s">
        <v>1454</v>
      </c>
    </row>
    <row r="941" spans="1:13" ht="15" customHeight="1" x14ac:dyDescent="0.25">
      <c r="A941" t="s">
        <v>2031</v>
      </c>
      <c r="B941" t="s">
        <v>327</v>
      </c>
      <c r="C941">
        <v>543502</v>
      </c>
      <c r="D941" t="s">
        <v>1455</v>
      </c>
      <c r="E941" t="s">
        <v>60</v>
      </c>
      <c r="F941" t="s">
        <v>1456</v>
      </c>
      <c r="G941" t="s">
        <v>1457</v>
      </c>
      <c r="H941" t="s">
        <v>999</v>
      </c>
      <c r="I941" t="s">
        <v>1428</v>
      </c>
      <c r="J941" t="s">
        <v>1458</v>
      </c>
      <c r="K941" t="s">
        <v>55</v>
      </c>
      <c r="L941" t="s">
        <v>55</v>
      </c>
      <c r="M941" t="s">
        <v>1459</v>
      </c>
    </row>
    <row r="942" spans="1:13" ht="15" customHeight="1" x14ac:dyDescent="0.25">
      <c r="A942" t="s">
        <v>2031</v>
      </c>
      <c r="B942" t="s">
        <v>327</v>
      </c>
      <c r="C942">
        <v>543659</v>
      </c>
      <c r="D942" t="s">
        <v>1460</v>
      </c>
      <c r="E942" t="s">
        <v>1461</v>
      </c>
      <c r="F942" t="s">
        <v>1462</v>
      </c>
      <c r="G942" t="s">
        <v>1463</v>
      </c>
      <c r="H942" t="s">
        <v>1464</v>
      </c>
      <c r="I942" t="s">
        <v>1428</v>
      </c>
      <c r="J942" t="s">
        <v>660</v>
      </c>
      <c r="K942" t="s">
        <v>55</v>
      </c>
      <c r="L942" t="s">
        <v>55</v>
      </c>
      <c r="M942" t="s">
        <v>1602</v>
      </c>
    </row>
    <row r="943" spans="1:13" ht="15" customHeight="1" x14ac:dyDescent="0.25">
      <c r="A943" t="s">
        <v>2031</v>
      </c>
      <c r="B943" t="s">
        <v>327</v>
      </c>
      <c r="C943">
        <v>544091</v>
      </c>
      <c r="D943" t="s">
        <v>1466</v>
      </c>
      <c r="E943" t="s">
        <v>1467</v>
      </c>
      <c r="F943" t="s">
        <v>1468</v>
      </c>
      <c r="G943" t="s">
        <v>1469</v>
      </c>
      <c r="H943" t="s">
        <v>1464</v>
      </c>
      <c r="I943" t="s">
        <v>1428</v>
      </c>
      <c r="J943" t="s">
        <v>620</v>
      </c>
      <c r="K943" t="s">
        <v>55</v>
      </c>
      <c r="L943" t="s">
        <v>55</v>
      </c>
      <c r="M943" t="s">
        <v>1826</v>
      </c>
    </row>
    <row r="944" spans="1:13" ht="15" customHeight="1" x14ac:dyDescent="0.25">
      <c r="A944" t="s">
        <v>2031</v>
      </c>
      <c r="B944" t="s">
        <v>327</v>
      </c>
      <c r="C944">
        <v>543509</v>
      </c>
      <c r="D944" t="s">
        <v>1471</v>
      </c>
      <c r="E944" t="s">
        <v>1472</v>
      </c>
      <c r="F944" t="s">
        <v>1473</v>
      </c>
      <c r="G944" t="s">
        <v>1474</v>
      </c>
      <c r="H944" t="s">
        <v>1475</v>
      </c>
      <c r="I944" t="s">
        <v>1428</v>
      </c>
      <c r="J944" t="s">
        <v>1263</v>
      </c>
      <c r="K944" t="s">
        <v>55</v>
      </c>
      <c r="L944" t="s">
        <v>55</v>
      </c>
      <c r="M944" t="s">
        <v>1476</v>
      </c>
    </row>
    <row r="945" spans="1:13" ht="15" customHeight="1" x14ac:dyDescent="0.25">
      <c r="A945" t="s">
        <v>2031</v>
      </c>
      <c r="B945" t="s">
        <v>327</v>
      </c>
      <c r="C945">
        <v>543711</v>
      </c>
      <c r="D945" t="s">
        <v>1477</v>
      </c>
      <c r="E945" t="s">
        <v>1478</v>
      </c>
      <c r="F945" t="s">
        <v>1479</v>
      </c>
      <c r="G945" t="s">
        <v>1480</v>
      </c>
      <c r="H945" t="s">
        <v>1481</v>
      </c>
      <c r="I945" t="s">
        <v>1428</v>
      </c>
      <c r="J945" t="s">
        <v>631</v>
      </c>
      <c r="K945" t="s">
        <v>55</v>
      </c>
      <c r="L945" t="s">
        <v>55</v>
      </c>
      <c r="M945" t="s">
        <v>1482</v>
      </c>
    </row>
    <row r="946" spans="1:13" ht="15" customHeight="1" x14ac:dyDescent="0.25">
      <c r="A946" t="s">
        <v>2031</v>
      </c>
      <c r="B946" t="s">
        <v>327</v>
      </c>
      <c r="C946">
        <v>543499</v>
      </c>
      <c r="D946" t="s">
        <v>1483</v>
      </c>
      <c r="E946" t="s">
        <v>1484</v>
      </c>
      <c r="F946" t="s">
        <v>1485</v>
      </c>
      <c r="G946" t="s">
        <v>1486</v>
      </c>
      <c r="H946" t="s">
        <v>1464</v>
      </c>
      <c r="I946" t="s">
        <v>1428</v>
      </c>
      <c r="J946" t="s">
        <v>751</v>
      </c>
      <c r="K946" t="s">
        <v>55</v>
      </c>
      <c r="L946" t="s">
        <v>55</v>
      </c>
      <c r="M946" t="s">
        <v>1487</v>
      </c>
    </row>
    <row r="947" spans="1:13" ht="15" customHeight="1" x14ac:dyDescent="0.25">
      <c r="A947" t="s">
        <v>2031</v>
      </c>
      <c r="B947" t="s">
        <v>327</v>
      </c>
      <c r="C947">
        <v>543507</v>
      </c>
      <c r="D947" t="s">
        <v>1342</v>
      </c>
      <c r="E947" t="s">
        <v>1346</v>
      </c>
      <c r="F947" t="s">
        <v>1347</v>
      </c>
      <c r="G947" t="s">
        <v>1348</v>
      </c>
      <c r="H947" t="s">
        <v>1199</v>
      </c>
      <c r="I947" t="s">
        <v>1428</v>
      </c>
      <c r="J947" t="s">
        <v>1349</v>
      </c>
      <c r="K947" t="s">
        <v>55</v>
      </c>
      <c r="L947" t="s">
        <v>55</v>
      </c>
      <c r="M947" t="s">
        <v>1429</v>
      </c>
    </row>
    <row r="948" spans="1:13" ht="15" customHeight="1" x14ac:dyDescent="0.25">
      <c r="A948" t="s">
        <v>2031</v>
      </c>
      <c r="B948" t="s">
        <v>327</v>
      </c>
      <c r="C948">
        <v>544117</v>
      </c>
      <c r="D948" t="s">
        <v>1865</v>
      </c>
      <c r="E948" t="s">
        <v>1866</v>
      </c>
      <c r="F948" t="s">
        <v>1867</v>
      </c>
      <c r="G948" t="s">
        <v>1868</v>
      </c>
      <c r="H948" t="s">
        <v>1481</v>
      </c>
      <c r="I948" t="s">
        <v>1428</v>
      </c>
      <c r="J948" t="s">
        <v>715</v>
      </c>
      <c r="K948" t="s">
        <v>55</v>
      </c>
      <c r="L948" t="s">
        <v>55</v>
      </c>
      <c r="M948" t="s">
        <v>1869</v>
      </c>
    </row>
    <row r="949" spans="1:13" ht="15" customHeight="1" x14ac:dyDescent="0.25">
      <c r="A949" t="s">
        <v>2031</v>
      </c>
      <c r="B949" t="s">
        <v>327</v>
      </c>
      <c r="C949">
        <v>543512</v>
      </c>
      <c r="D949" t="s">
        <v>1488</v>
      </c>
      <c r="E949" t="s">
        <v>1489</v>
      </c>
      <c r="F949" t="s">
        <v>1490</v>
      </c>
      <c r="G949" t="s">
        <v>1491</v>
      </c>
      <c r="H949" t="s">
        <v>757</v>
      </c>
      <c r="I949" t="s">
        <v>1428</v>
      </c>
      <c r="J949" t="s">
        <v>770</v>
      </c>
      <c r="K949" t="s">
        <v>55</v>
      </c>
      <c r="L949" t="s">
        <v>55</v>
      </c>
      <c r="M949" t="s">
        <v>1612</v>
      </c>
    </row>
    <row r="950" spans="1:13" ht="15" customHeight="1" x14ac:dyDescent="0.25">
      <c r="A950" t="s">
        <v>2031</v>
      </c>
      <c r="B950" t="s">
        <v>327</v>
      </c>
      <c r="C950">
        <v>543593</v>
      </c>
      <c r="D950" t="s">
        <v>1492</v>
      </c>
      <c r="E950" t="s">
        <v>1493</v>
      </c>
      <c r="F950" t="s">
        <v>1494</v>
      </c>
      <c r="G950" t="s">
        <v>1495</v>
      </c>
      <c r="H950" t="s">
        <v>1199</v>
      </c>
      <c r="I950" t="s">
        <v>1428</v>
      </c>
      <c r="J950" t="s">
        <v>615</v>
      </c>
      <c r="K950" t="s">
        <v>55</v>
      </c>
      <c r="L950" t="s">
        <v>55</v>
      </c>
      <c r="M950" t="s">
        <v>1591</v>
      </c>
    </row>
    <row r="951" spans="1:13" ht="15" customHeight="1" x14ac:dyDescent="0.25">
      <c r="A951" t="s">
        <v>2031</v>
      </c>
      <c r="B951" t="s">
        <v>327</v>
      </c>
      <c r="C951">
        <v>543592</v>
      </c>
      <c r="D951" t="s">
        <v>1492</v>
      </c>
      <c r="E951" t="s">
        <v>1496</v>
      </c>
      <c r="F951" t="s">
        <v>1497</v>
      </c>
      <c r="G951" t="s">
        <v>1498</v>
      </c>
      <c r="H951" t="s">
        <v>1199</v>
      </c>
      <c r="I951" t="s">
        <v>1428</v>
      </c>
      <c r="J951" t="s">
        <v>637</v>
      </c>
      <c r="K951" t="s">
        <v>55</v>
      </c>
      <c r="L951" t="s">
        <v>55</v>
      </c>
      <c r="M951" t="s">
        <v>1453</v>
      </c>
    </row>
    <row r="952" spans="1:13" ht="15" customHeight="1" x14ac:dyDescent="0.25">
      <c r="A952" t="s">
        <v>2031</v>
      </c>
      <c r="B952" t="s">
        <v>327</v>
      </c>
      <c r="C952">
        <v>544128</v>
      </c>
      <c r="D952" t="s">
        <v>1499</v>
      </c>
      <c r="E952" t="s">
        <v>1500</v>
      </c>
      <c r="F952" t="s">
        <v>1501</v>
      </c>
      <c r="G952" t="s">
        <v>1502</v>
      </c>
      <c r="H952" t="s">
        <v>1050</v>
      </c>
      <c r="I952" t="s">
        <v>1428</v>
      </c>
      <c r="J952" t="s">
        <v>1075</v>
      </c>
      <c r="K952" t="s">
        <v>55</v>
      </c>
      <c r="L952" t="s">
        <v>55</v>
      </c>
      <c r="M952" t="s">
        <v>1503</v>
      </c>
    </row>
    <row r="953" spans="1:13" ht="15" customHeight="1" x14ac:dyDescent="0.25">
      <c r="A953" t="s">
        <v>2031</v>
      </c>
      <c r="B953" t="s">
        <v>327</v>
      </c>
      <c r="C953">
        <v>544116</v>
      </c>
      <c r="D953" t="s">
        <v>1849</v>
      </c>
      <c r="E953" t="s">
        <v>1850</v>
      </c>
      <c r="F953" t="s">
        <v>1851</v>
      </c>
      <c r="G953" t="s">
        <v>1852</v>
      </c>
      <c r="H953" t="s">
        <v>999</v>
      </c>
      <c r="I953" t="s">
        <v>1428</v>
      </c>
      <c r="J953" t="s">
        <v>660</v>
      </c>
      <c r="K953" t="s">
        <v>55</v>
      </c>
      <c r="L953" t="s">
        <v>55</v>
      </c>
      <c r="M953" t="s">
        <v>1853</v>
      </c>
    </row>
    <row r="954" spans="1:13" ht="15" customHeight="1" x14ac:dyDescent="0.25">
      <c r="A954" t="s">
        <v>2031</v>
      </c>
      <c r="B954" t="s">
        <v>327</v>
      </c>
      <c r="C954">
        <v>543500</v>
      </c>
      <c r="D954" t="s">
        <v>1504</v>
      </c>
      <c r="E954" t="s">
        <v>1505</v>
      </c>
      <c r="F954" t="s">
        <v>1506</v>
      </c>
      <c r="G954" t="s">
        <v>1507</v>
      </c>
      <c r="H954" t="s">
        <v>1508</v>
      </c>
      <c r="I954" t="s">
        <v>1428</v>
      </c>
      <c r="J954" t="s">
        <v>615</v>
      </c>
      <c r="K954" t="s">
        <v>55</v>
      </c>
      <c r="L954" t="s">
        <v>55</v>
      </c>
      <c r="M954" t="s">
        <v>1509</v>
      </c>
    </row>
    <row r="955" spans="1:13" ht="15" customHeight="1" x14ac:dyDescent="0.25">
      <c r="A955" t="s">
        <v>2031</v>
      </c>
      <c r="B955" t="s">
        <v>327</v>
      </c>
      <c r="C955">
        <v>543668</v>
      </c>
      <c r="D955" t="s">
        <v>1510</v>
      </c>
      <c r="E955" t="s">
        <v>1511</v>
      </c>
      <c r="F955" t="s">
        <v>1512</v>
      </c>
      <c r="G955" t="s">
        <v>1513</v>
      </c>
      <c r="H955" t="s">
        <v>803</v>
      </c>
      <c r="I955" t="s">
        <v>1428</v>
      </c>
      <c r="J955" t="s">
        <v>615</v>
      </c>
      <c r="K955" t="s">
        <v>55</v>
      </c>
      <c r="L955" t="s">
        <v>55</v>
      </c>
      <c r="M955" t="s">
        <v>1826</v>
      </c>
    </row>
    <row r="956" spans="1:13" ht="15" customHeight="1" x14ac:dyDescent="0.25">
      <c r="A956" t="s">
        <v>2031</v>
      </c>
      <c r="B956" t="s">
        <v>327</v>
      </c>
      <c r="C956">
        <v>543596</v>
      </c>
      <c r="D956" t="s">
        <v>1514</v>
      </c>
      <c r="E956" t="s">
        <v>1515</v>
      </c>
      <c r="F956" t="s">
        <v>1516</v>
      </c>
      <c r="G956" t="s">
        <v>1517</v>
      </c>
      <c r="H956" t="s">
        <v>1464</v>
      </c>
      <c r="I956" t="s">
        <v>1428</v>
      </c>
      <c r="J956" t="s">
        <v>615</v>
      </c>
      <c r="K956" t="s">
        <v>55</v>
      </c>
      <c r="L956" t="s">
        <v>55</v>
      </c>
      <c r="M956" t="s">
        <v>1518</v>
      </c>
    </row>
    <row r="957" spans="1:13" ht="15" customHeight="1" x14ac:dyDescent="0.25">
      <c r="A957" t="s">
        <v>2031</v>
      </c>
      <c r="B957" t="s">
        <v>327</v>
      </c>
      <c r="C957">
        <v>543670</v>
      </c>
      <c r="D957" t="s">
        <v>1519</v>
      </c>
      <c r="E957" t="s">
        <v>1520</v>
      </c>
      <c r="F957" t="s">
        <v>1521</v>
      </c>
      <c r="G957" t="s">
        <v>1522</v>
      </c>
      <c r="H957" t="s">
        <v>999</v>
      </c>
      <c r="I957" t="s">
        <v>1428</v>
      </c>
      <c r="J957" t="s">
        <v>1523</v>
      </c>
      <c r="K957" t="s">
        <v>55</v>
      </c>
      <c r="L957" t="s">
        <v>55</v>
      </c>
      <c r="M957" t="s">
        <v>1827</v>
      </c>
    </row>
    <row r="958" spans="1:13" ht="15" customHeight="1" x14ac:dyDescent="0.25">
      <c r="A958" t="s">
        <v>2031</v>
      </c>
      <c r="B958" t="s">
        <v>327</v>
      </c>
      <c r="C958">
        <v>543511</v>
      </c>
      <c r="D958" t="s">
        <v>1525</v>
      </c>
      <c r="E958" t="s">
        <v>800</v>
      </c>
      <c r="F958" t="s">
        <v>1526</v>
      </c>
      <c r="G958" t="s">
        <v>1527</v>
      </c>
      <c r="H958" t="s">
        <v>1008</v>
      </c>
      <c r="I958" t="s">
        <v>1428</v>
      </c>
      <c r="J958" t="s">
        <v>615</v>
      </c>
      <c r="K958" t="s">
        <v>55</v>
      </c>
      <c r="L958" t="s">
        <v>55</v>
      </c>
      <c r="M958" t="s">
        <v>1454</v>
      </c>
    </row>
    <row r="959" spans="1:13" ht="15" customHeight="1" x14ac:dyDescent="0.25">
      <c r="A959" t="s">
        <v>2031</v>
      </c>
      <c r="B959" t="s">
        <v>327</v>
      </c>
      <c r="C959">
        <v>544114</v>
      </c>
      <c r="D959" t="s">
        <v>1854</v>
      </c>
      <c r="E959" t="s">
        <v>1855</v>
      </c>
      <c r="F959" t="s">
        <v>1856</v>
      </c>
      <c r="G959" t="s">
        <v>1857</v>
      </c>
      <c r="H959" t="s">
        <v>1464</v>
      </c>
      <c r="I959" t="s">
        <v>1428</v>
      </c>
      <c r="J959" t="s">
        <v>609</v>
      </c>
      <c r="K959" t="s">
        <v>55</v>
      </c>
      <c r="L959" t="s">
        <v>55</v>
      </c>
      <c r="M959" t="s">
        <v>1858</v>
      </c>
    </row>
    <row r="960" spans="1:13" ht="15" customHeight="1" x14ac:dyDescent="0.25">
      <c r="A960" t="s">
        <v>2031</v>
      </c>
      <c r="B960" t="s">
        <v>327</v>
      </c>
      <c r="C960">
        <v>543597</v>
      </c>
      <c r="D960" t="s">
        <v>1528</v>
      </c>
      <c r="E960" t="s">
        <v>1529</v>
      </c>
      <c r="F960" t="s">
        <v>1530</v>
      </c>
      <c r="G960" t="s">
        <v>1531</v>
      </c>
      <c r="H960" t="s">
        <v>999</v>
      </c>
      <c r="I960" t="s">
        <v>1428</v>
      </c>
      <c r="J960" t="s">
        <v>609</v>
      </c>
      <c r="K960" t="s">
        <v>55</v>
      </c>
      <c r="L960" t="s">
        <v>55</v>
      </c>
      <c r="M960" t="s">
        <v>1421</v>
      </c>
    </row>
    <row r="961" spans="1:13" ht="15" customHeight="1" x14ac:dyDescent="0.25">
      <c r="A961" t="s">
        <v>2031</v>
      </c>
      <c r="B961" t="s">
        <v>327</v>
      </c>
      <c r="C961">
        <v>543669</v>
      </c>
      <c r="D961" t="s">
        <v>1532</v>
      </c>
      <c r="E961" t="s">
        <v>1533</v>
      </c>
      <c r="F961" t="s">
        <v>1534</v>
      </c>
      <c r="G961" t="s">
        <v>1535</v>
      </c>
      <c r="H961" t="s">
        <v>1481</v>
      </c>
      <c r="I961" t="s">
        <v>1428</v>
      </c>
      <c r="J961" t="s">
        <v>631</v>
      </c>
      <c r="K961" t="s">
        <v>55</v>
      </c>
      <c r="L961" t="s">
        <v>55</v>
      </c>
      <c r="M961" t="s">
        <v>1536</v>
      </c>
    </row>
    <row r="962" spans="1:13" ht="15" customHeight="1" x14ac:dyDescent="0.25">
      <c r="A962" t="s">
        <v>2031</v>
      </c>
      <c r="B962" t="s">
        <v>327</v>
      </c>
      <c r="C962">
        <v>543591</v>
      </c>
      <c r="D962" t="s">
        <v>1537</v>
      </c>
      <c r="E962" t="s">
        <v>1538</v>
      </c>
      <c r="F962" t="s">
        <v>1539</v>
      </c>
      <c r="G962" t="s">
        <v>1540</v>
      </c>
      <c r="H962" t="s">
        <v>999</v>
      </c>
      <c r="I962" t="s">
        <v>1428</v>
      </c>
      <c r="J962" t="s">
        <v>1541</v>
      </c>
      <c r="K962" t="s">
        <v>55</v>
      </c>
      <c r="L962" t="s">
        <v>55</v>
      </c>
      <c r="M962" t="s">
        <v>1448</v>
      </c>
    </row>
    <row r="963" spans="1:13" ht="15" customHeight="1" x14ac:dyDescent="0.25">
      <c r="A963" t="s">
        <v>2031</v>
      </c>
      <c r="B963" t="s">
        <v>327</v>
      </c>
      <c r="C963">
        <v>544113</v>
      </c>
      <c r="D963" t="s">
        <v>1036</v>
      </c>
      <c r="E963" t="s">
        <v>1064</v>
      </c>
      <c r="F963" t="s">
        <v>1859</v>
      </c>
      <c r="G963" t="s">
        <v>1860</v>
      </c>
      <c r="H963" t="s">
        <v>999</v>
      </c>
      <c r="I963" t="s">
        <v>1428</v>
      </c>
      <c r="J963" t="s">
        <v>777</v>
      </c>
      <c r="K963" t="s">
        <v>55</v>
      </c>
      <c r="L963" t="s">
        <v>55</v>
      </c>
      <c r="M963" t="s">
        <v>1503</v>
      </c>
    </row>
    <row r="964" spans="1:13" ht="15" customHeight="1" x14ac:dyDescent="0.25">
      <c r="A964" t="s">
        <v>2031</v>
      </c>
      <c r="B964" t="s">
        <v>327</v>
      </c>
      <c r="C964">
        <v>543608</v>
      </c>
      <c r="D964" t="s">
        <v>1543</v>
      </c>
      <c r="E964" t="s">
        <v>1544</v>
      </c>
      <c r="F964" t="s">
        <v>1545</v>
      </c>
      <c r="G964" t="s">
        <v>1546</v>
      </c>
      <c r="H964" t="s">
        <v>999</v>
      </c>
      <c r="I964" t="s">
        <v>1428</v>
      </c>
      <c r="J964" t="s">
        <v>927</v>
      </c>
      <c r="K964" t="s">
        <v>55</v>
      </c>
      <c r="L964" t="s">
        <v>55</v>
      </c>
      <c r="M964" t="s">
        <v>1547</v>
      </c>
    </row>
    <row r="965" spans="1:13" ht="15" customHeight="1" x14ac:dyDescent="0.25">
      <c r="A965" t="s">
        <v>2031</v>
      </c>
      <c r="B965" t="s">
        <v>327</v>
      </c>
      <c r="C965">
        <v>543600</v>
      </c>
      <c r="D965" t="s">
        <v>1543</v>
      </c>
      <c r="E965" t="s">
        <v>1548</v>
      </c>
      <c r="F965" t="s">
        <v>1549</v>
      </c>
      <c r="G965" t="s">
        <v>1550</v>
      </c>
      <c r="H965" t="s">
        <v>999</v>
      </c>
      <c r="I965" t="s">
        <v>1428</v>
      </c>
      <c r="J965" t="s">
        <v>1551</v>
      </c>
      <c r="K965" t="s">
        <v>55</v>
      </c>
      <c r="L965" t="s">
        <v>55</v>
      </c>
      <c r="M965" t="s">
        <v>1552</v>
      </c>
    </row>
    <row r="966" spans="1:13" ht="15" customHeight="1" x14ac:dyDescent="0.25">
      <c r="A966" t="s">
        <v>2031</v>
      </c>
      <c r="B966" t="s">
        <v>327</v>
      </c>
      <c r="C966">
        <v>543513</v>
      </c>
      <c r="D966" t="s">
        <v>1046</v>
      </c>
      <c r="E966" t="s">
        <v>1047</v>
      </c>
      <c r="F966" t="s">
        <v>1048</v>
      </c>
      <c r="G966" t="s">
        <v>1049</v>
      </c>
      <c r="H966" t="s">
        <v>1050</v>
      </c>
      <c r="I966" t="s">
        <v>1428</v>
      </c>
      <c r="J966" t="s">
        <v>1051</v>
      </c>
      <c r="K966" t="s">
        <v>55</v>
      </c>
      <c r="L966" t="s">
        <v>55</v>
      </c>
      <c r="M966" t="s">
        <v>1553</v>
      </c>
    </row>
    <row r="967" spans="1:13" ht="15" customHeight="1" x14ac:dyDescent="0.25">
      <c r="A967" t="s">
        <v>2031</v>
      </c>
      <c r="B967" t="s">
        <v>327</v>
      </c>
      <c r="C967">
        <v>544088</v>
      </c>
      <c r="D967" t="s">
        <v>1554</v>
      </c>
      <c r="E967" t="s">
        <v>1555</v>
      </c>
      <c r="F967" t="s">
        <v>1556</v>
      </c>
      <c r="G967" t="s">
        <v>1557</v>
      </c>
      <c r="H967" t="s">
        <v>1481</v>
      </c>
      <c r="I967" t="s">
        <v>1428</v>
      </c>
      <c r="J967" t="s">
        <v>620</v>
      </c>
      <c r="K967" t="s">
        <v>55</v>
      </c>
      <c r="L967" t="s">
        <v>55</v>
      </c>
      <c r="M967" t="s">
        <v>1861</v>
      </c>
    </row>
    <row r="968" spans="1:13" ht="15" customHeight="1" x14ac:dyDescent="0.25">
      <c r="A968" t="s">
        <v>2031</v>
      </c>
      <c r="B968" t="s">
        <v>327</v>
      </c>
      <c r="C968">
        <v>544093</v>
      </c>
      <c r="D968" t="s">
        <v>1559</v>
      </c>
      <c r="E968" t="s">
        <v>1560</v>
      </c>
      <c r="F968" t="s">
        <v>1561</v>
      </c>
      <c r="G968" t="s">
        <v>1562</v>
      </c>
      <c r="H968" t="s">
        <v>999</v>
      </c>
      <c r="I968" t="s">
        <v>1428</v>
      </c>
      <c r="J968" t="s">
        <v>637</v>
      </c>
      <c r="K968" t="s">
        <v>55</v>
      </c>
      <c r="L968" t="s">
        <v>55</v>
      </c>
      <c r="M968" t="s">
        <v>1862</v>
      </c>
    </row>
    <row r="969" spans="1:13" ht="15" customHeight="1" x14ac:dyDescent="0.25">
      <c r="A969" t="s">
        <v>2031</v>
      </c>
      <c r="B969" t="s">
        <v>327</v>
      </c>
      <c r="C969">
        <v>544092</v>
      </c>
      <c r="D969" t="s">
        <v>1564</v>
      </c>
      <c r="E969" t="s">
        <v>1565</v>
      </c>
      <c r="F969" t="s">
        <v>1566</v>
      </c>
      <c r="G969" t="s">
        <v>1567</v>
      </c>
      <c r="H969" t="s">
        <v>999</v>
      </c>
      <c r="I969" t="s">
        <v>1428</v>
      </c>
      <c r="J969" t="s">
        <v>1568</v>
      </c>
      <c r="K969" t="s">
        <v>55</v>
      </c>
      <c r="L969" t="s">
        <v>55</v>
      </c>
      <c r="M969" t="s">
        <v>1569</v>
      </c>
    </row>
    <row r="970" spans="1:13" ht="15" customHeight="1" x14ac:dyDescent="0.25">
      <c r="A970" t="s">
        <v>2031</v>
      </c>
      <c r="B970" t="s">
        <v>327</v>
      </c>
      <c r="C970">
        <v>543811</v>
      </c>
      <c r="D970" t="s">
        <v>1570</v>
      </c>
      <c r="E970" t="s">
        <v>1571</v>
      </c>
      <c r="F970" t="s">
        <v>1572</v>
      </c>
      <c r="G970" t="s">
        <v>1573</v>
      </c>
      <c r="H970" t="s">
        <v>1464</v>
      </c>
      <c r="I970" t="s">
        <v>1428</v>
      </c>
      <c r="J970" t="s">
        <v>615</v>
      </c>
      <c r="K970" t="s">
        <v>55</v>
      </c>
      <c r="L970" t="s">
        <v>55</v>
      </c>
      <c r="M970" t="s">
        <v>1612</v>
      </c>
    </row>
    <row r="971" spans="1:13" ht="15" customHeight="1" x14ac:dyDescent="0.25">
      <c r="A971" t="s">
        <v>2031</v>
      </c>
      <c r="B971" t="s">
        <v>327</v>
      </c>
      <c r="C971">
        <v>544109</v>
      </c>
      <c r="D971" t="s">
        <v>1829</v>
      </c>
      <c r="E971" t="s">
        <v>891</v>
      </c>
      <c r="F971" t="s">
        <v>892</v>
      </c>
      <c r="G971" t="s">
        <v>893</v>
      </c>
      <c r="H971" t="s">
        <v>1830</v>
      </c>
      <c r="I971" t="s">
        <v>1428</v>
      </c>
      <c r="J971" t="s">
        <v>660</v>
      </c>
      <c r="K971" t="s">
        <v>55</v>
      </c>
      <c r="L971" t="s">
        <v>55</v>
      </c>
      <c r="M971" t="s">
        <v>1476</v>
      </c>
    </row>
    <row r="972" spans="1:13" ht="15" customHeight="1" x14ac:dyDescent="0.25">
      <c r="A972" t="s">
        <v>2031</v>
      </c>
      <c r="B972" t="s">
        <v>327</v>
      </c>
      <c r="C972">
        <v>543712</v>
      </c>
      <c r="D972" t="s">
        <v>1574</v>
      </c>
      <c r="E972" t="s">
        <v>1575</v>
      </c>
      <c r="F972" t="s">
        <v>1576</v>
      </c>
      <c r="G972" t="s">
        <v>1577</v>
      </c>
      <c r="H972" t="s">
        <v>1199</v>
      </c>
      <c r="I972" t="s">
        <v>1428</v>
      </c>
      <c r="J972" t="s">
        <v>631</v>
      </c>
      <c r="K972" t="s">
        <v>55</v>
      </c>
      <c r="L972" t="s">
        <v>55</v>
      </c>
      <c r="M972" t="s">
        <v>2032</v>
      </c>
    </row>
    <row r="973" spans="1:13" ht="15" customHeight="1" x14ac:dyDescent="0.25">
      <c r="A973" t="s">
        <v>2031</v>
      </c>
      <c r="B973" t="s">
        <v>327</v>
      </c>
      <c r="C973">
        <v>543658</v>
      </c>
      <c r="D973" t="s">
        <v>1578</v>
      </c>
      <c r="E973" t="s">
        <v>891</v>
      </c>
      <c r="F973" t="s">
        <v>1579</v>
      </c>
      <c r="G973" t="s">
        <v>1580</v>
      </c>
      <c r="H973" t="s">
        <v>1008</v>
      </c>
      <c r="I973" t="s">
        <v>1428</v>
      </c>
      <c r="J973" t="s">
        <v>715</v>
      </c>
      <c r="K973" t="s">
        <v>55</v>
      </c>
      <c r="L973" t="s">
        <v>55</v>
      </c>
      <c r="M973" t="s">
        <v>1581</v>
      </c>
    </row>
    <row r="974" spans="1:13" ht="15" customHeight="1" x14ac:dyDescent="0.25">
      <c r="A974" t="s">
        <v>2031</v>
      </c>
      <c r="B974" t="s">
        <v>327</v>
      </c>
      <c r="C974">
        <v>543657</v>
      </c>
      <c r="D974" t="s">
        <v>1582</v>
      </c>
      <c r="E974" t="s">
        <v>1583</v>
      </c>
      <c r="F974" t="s">
        <v>1584</v>
      </c>
      <c r="G974" t="s">
        <v>1585</v>
      </c>
      <c r="H974" t="s">
        <v>911</v>
      </c>
      <c r="I974" t="s">
        <v>1428</v>
      </c>
      <c r="J974" t="s">
        <v>631</v>
      </c>
      <c r="K974" t="s">
        <v>55</v>
      </c>
      <c r="L974" t="s">
        <v>55</v>
      </c>
      <c r="M974" t="s">
        <v>1586</v>
      </c>
    </row>
    <row r="975" spans="1:13" ht="15" customHeight="1" x14ac:dyDescent="0.25">
      <c r="A975" t="s">
        <v>2031</v>
      </c>
      <c r="B975" t="s">
        <v>327</v>
      </c>
      <c r="C975">
        <v>543656</v>
      </c>
      <c r="D975" t="s">
        <v>1587</v>
      </c>
      <c r="E975" t="s">
        <v>1588</v>
      </c>
      <c r="F975" t="s">
        <v>1589</v>
      </c>
      <c r="G975" t="s">
        <v>1590</v>
      </c>
      <c r="H975" t="s">
        <v>911</v>
      </c>
      <c r="I975" t="s">
        <v>1428</v>
      </c>
      <c r="J975" t="s">
        <v>631</v>
      </c>
      <c r="K975" t="s">
        <v>55</v>
      </c>
      <c r="L975" t="s">
        <v>55</v>
      </c>
      <c r="M975" t="s">
        <v>1586</v>
      </c>
    </row>
    <row r="976" spans="1:13" ht="15" customHeight="1" x14ac:dyDescent="0.25">
      <c r="A976" t="s">
        <v>2031</v>
      </c>
      <c r="B976" t="s">
        <v>327</v>
      </c>
      <c r="C976">
        <v>543514</v>
      </c>
      <c r="D976" t="s">
        <v>1162</v>
      </c>
      <c r="E976" t="s">
        <v>1163</v>
      </c>
      <c r="F976" t="s">
        <v>1164</v>
      </c>
      <c r="G976" t="s">
        <v>1165</v>
      </c>
      <c r="H976" t="s">
        <v>999</v>
      </c>
      <c r="I976" t="s">
        <v>1428</v>
      </c>
      <c r="J976" t="s">
        <v>596</v>
      </c>
      <c r="K976" t="s">
        <v>55</v>
      </c>
      <c r="L976" t="s">
        <v>55</v>
      </c>
      <c r="M976" t="s">
        <v>1863</v>
      </c>
    </row>
    <row r="977" spans="1:13" ht="15" customHeight="1" x14ac:dyDescent="0.25">
      <c r="A977" t="s">
        <v>2031</v>
      </c>
      <c r="B977" t="s">
        <v>327</v>
      </c>
      <c r="C977">
        <v>543661</v>
      </c>
      <c r="D977" t="s">
        <v>1592</v>
      </c>
      <c r="E977" t="s">
        <v>1593</v>
      </c>
      <c r="F977" t="s">
        <v>1594</v>
      </c>
      <c r="G977" t="s">
        <v>1595</v>
      </c>
      <c r="H977" t="s">
        <v>1596</v>
      </c>
      <c r="I977" t="s">
        <v>1428</v>
      </c>
      <c r="J977" t="s">
        <v>603</v>
      </c>
      <c r="K977" t="s">
        <v>55</v>
      </c>
      <c r="L977" t="s">
        <v>55</v>
      </c>
      <c r="M977" t="s">
        <v>1597</v>
      </c>
    </row>
    <row r="978" spans="1:13" ht="15" customHeight="1" x14ac:dyDescent="0.25">
      <c r="A978" t="s">
        <v>2031</v>
      </c>
      <c r="B978" t="s">
        <v>327</v>
      </c>
      <c r="C978">
        <v>543501</v>
      </c>
      <c r="D978" t="s">
        <v>1598</v>
      </c>
      <c r="E978" t="s">
        <v>1599</v>
      </c>
      <c r="F978" t="s">
        <v>1600</v>
      </c>
      <c r="G978" t="s">
        <v>1601</v>
      </c>
      <c r="H978" t="s">
        <v>999</v>
      </c>
      <c r="I978" t="s">
        <v>1428</v>
      </c>
      <c r="J978" t="s">
        <v>615</v>
      </c>
      <c r="K978" t="s">
        <v>55</v>
      </c>
      <c r="L978" t="s">
        <v>55</v>
      </c>
      <c r="M978" t="s">
        <v>1465</v>
      </c>
    </row>
    <row r="979" spans="1:13" ht="15" customHeight="1" x14ac:dyDescent="0.25">
      <c r="A979" t="s">
        <v>2031</v>
      </c>
      <c r="B979" t="s">
        <v>327</v>
      </c>
      <c r="C979">
        <v>543594</v>
      </c>
      <c r="D979" t="s">
        <v>1603</v>
      </c>
      <c r="E979" t="s">
        <v>1604</v>
      </c>
      <c r="F979" t="s">
        <v>1605</v>
      </c>
      <c r="G979" t="s">
        <v>1606</v>
      </c>
      <c r="H979" t="s">
        <v>1377</v>
      </c>
      <c r="I979" t="s">
        <v>1428</v>
      </c>
      <c r="J979" t="s">
        <v>631</v>
      </c>
      <c r="K979" t="s">
        <v>55</v>
      </c>
      <c r="L979" t="s">
        <v>55</v>
      </c>
      <c r="M979" t="s">
        <v>1607</v>
      </c>
    </row>
    <row r="980" spans="1:13" ht="15" customHeight="1" x14ac:dyDescent="0.25">
      <c r="A980" t="s">
        <v>2031</v>
      </c>
      <c r="B980" t="s">
        <v>327</v>
      </c>
      <c r="C980">
        <v>544095</v>
      </c>
      <c r="D980" t="s">
        <v>1608</v>
      </c>
      <c r="E980" t="s">
        <v>1609</v>
      </c>
      <c r="F980" t="s">
        <v>1610</v>
      </c>
      <c r="G980" t="s">
        <v>1611</v>
      </c>
      <c r="H980" t="s">
        <v>999</v>
      </c>
      <c r="I980" t="s">
        <v>1428</v>
      </c>
      <c r="J980" t="s">
        <v>751</v>
      </c>
      <c r="K980" t="s">
        <v>55</v>
      </c>
      <c r="L980" t="s">
        <v>55</v>
      </c>
      <c r="M980" t="s">
        <v>1454</v>
      </c>
    </row>
    <row r="981" spans="1:13" ht="15" customHeight="1" x14ac:dyDescent="0.25">
      <c r="A981" t="s">
        <v>2031</v>
      </c>
      <c r="B981" t="s">
        <v>327</v>
      </c>
      <c r="C981">
        <v>543504</v>
      </c>
      <c r="D981" t="s">
        <v>1613</v>
      </c>
      <c r="E981" t="s">
        <v>1614</v>
      </c>
      <c r="F981" t="s">
        <v>1615</v>
      </c>
      <c r="G981" t="s">
        <v>1616</v>
      </c>
      <c r="H981" t="s">
        <v>1199</v>
      </c>
      <c r="I981" t="s">
        <v>1428</v>
      </c>
      <c r="J981" t="s">
        <v>620</v>
      </c>
      <c r="K981" t="s">
        <v>55</v>
      </c>
      <c r="L981" t="s">
        <v>55</v>
      </c>
      <c r="M981" t="s">
        <v>1617</v>
      </c>
    </row>
    <row r="982" spans="1:13" ht="15" customHeight="1" x14ac:dyDescent="0.25">
      <c r="A982" t="s">
        <v>2031</v>
      </c>
      <c r="B982" t="s">
        <v>327</v>
      </c>
      <c r="C982">
        <v>543508</v>
      </c>
      <c r="D982" t="s">
        <v>1409</v>
      </c>
      <c r="E982" t="s">
        <v>1618</v>
      </c>
      <c r="F982" t="s">
        <v>1619</v>
      </c>
      <c r="G982" t="s">
        <v>1620</v>
      </c>
      <c r="H982" t="s">
        <v>1199</v>
      </c>
      <c r="I982" t="s">
        <v>1428</v>
      </c>
      <c r="J982" t="s">
        <v>1621</v>
      </c>
      <c r="K982" t="s">
        <v>55</v>
      </c>
      <c r="L982" t="s">
        <v>55</v>
      </c>
      <c r="M982" t="s">
        <v>1622</v>
      </c>
    </row>
    <row r="983" spans="1:13" ht="15" customHeight="1" x14ac:dyDescent="0.25">
      <c r="A983" t="s">
        <v>2031</v>
      </c>
      <c r="B983" t="s">
        <v>327</v>
      </c>
      <c r="C983">
        <v>543510</v>
      </c>
      <c r="D983" t="s">
        <v>1623</v>
      </c>
      <c r="E983" t="s">
        <v>1627</v>
      </c>
      <c r="F983" t="s">
        <v>1628</v>
      </c>
      <c r="G983" t="s">
        <v>1629</v>
      </c>
      <c r="H983" t="s">
        <v>1475</v>
      </c>
      <c r="I983" t="s">
        <v>1428</v>
      </c>
      <c r="J983" t="s">
        <v>620</v>
      </c>
      <c r="K983" t="s">
        <v>55</v>
      </c>
      <c r="L983" t="s">
        <v>55</v>
      </c>
      <c r="M983" t="s">
        <v>1617</v>
      </c>
    </row>
    <row r="984" spans="1:13" ht="15" customHeight="1" x14ac:dyDescent="0.25">
      <c r="A984" t="s">
        <v>2031</v>
      </c>
      <c r="B984" t="s">
        <v>327</v>
      </c>
      <c r="C984">
        <v>543505</v>
      </c>
      <c r="D984" t="s">
        <v>1623</v>
      </c>
      <c r="E984" t="s">
        <v>1624</v>
      </c>
      <c r="F984" t="s">
        <v>1625</v>
      </c>
      <c r="G984" t="s">
        <v>1626</v>
      </c>
      <c r="H984" t="s">
        <v>1475</v>
      </c>
      <c r="I984" t="s">
        <v>1428</v>
      </c>
      <c r="J984" t="s">
        <v>620</v>
      </c>
      <c r="K984" t="s">
        <v>55</v>
      </c>
      <c r="L984" t="s">
        <v>55</v>
      </c>
      <c r="M984" t="s">
        <v>1547</v>
      </c>
    </row>
    <row r="985" spans="1:13" ht="15" customHeight="1" x14ac:dyDescent="0.25">
      <c r="A985" t="s">
        <v>2031</v>
      </c>
      <c r="B985" t="s">
        <v>327</v>
      </c>
      <c r="C985">
        <v>543660</v>
      </c>
      <c r="D985" t="s">
        <v>1630</v>
      </c>
      <c r="E985" t="s">
        <v>1631</v>
      </c>
      <c r="F985" t="s">
        <v>1632</v>
      </c>
      <c r="G985" t="s">
        <v>1633</v>
      </c>
      <c r="H985" t="s">
        <v>1199</v>
      </c>
      <c r="I985" t="s">
        <v>1428</v>
      </c>
      <c r="J985" t="s">
        <v>620</v>
      </c>
      <c r="K985" t="s">
        <v>55</v>
      </c>
      <c r="L985" t="s">
        <v>55</v>
      </c>
      <c r="M985" t="s">
        <v>1634</v>
      </c>
    </row>
    <row r="986" spans="1:13" ht="15" customHeight="1" x14ac:dyDescent="0.25">
      <c r="A986" t="s">
        <v>2031</v>
      </c>
      <c r="B986" t="s">
        <v>327</v>
      </c>
      <c r="C986">
        <v>544094</v>
      </c>
      <c r="D986" t="s">
        <v>1635</v>
      </c>
      <c r="E986" t="s">
        <v>1636</v>
      </c>
      <c r="F986" t="s">
        <v>1637</v>
      </c>
      <c r="G986" t="s">
        <v>1638</v>
      </c>
      <c r="H986" t="s">
        <v>999</v>
      </c>
      <c r="I986" t="s">
        <v>1428</v>
      </c>
      <c r="J986" t="s">
        <v>631</v>
      </c>
      <c r="K986" t="s">
        <v>55</v>
      </c>
      <c r="L986" t="s">
        <v>55</v>
      </c>
      <c r="M986" t="s">
        <v>1470</v>
      </c>
    </row>
    <row r="987" spans="1:13" ht="15" customHeight="1" x14ac:dyDescent="0.25">
      <c r="A987" t="s">
        <v>2031</v>
      </c>
      <c r="B987" t="s">
        <v>327</v>
      </c>
      <c r="C987">
        <v>543515</v>
      </c>
      <c r="D987" t="s">
        <v>1288</v>
      </c>
      <c r="E987" t="s">
        <v>1289</v>
      </c>
      <c r="F987" t="s">
        <v>1290</v>
      </c>
      <c r="G987" t="s">
        <v>1291</v>
      </c>
      <c r="H987" t="s">
        <v>803</v>
      </c>
      <c r="I987" t="s">
        <v>1428</v>
      </c>
      <c r="J987" t="s">
        <v>927</v>
      </c>
      <c r="K987" t="s">
        <v>55</v>
      </c>
      <c r="L987" t="s">
        <v>55</v>
      </c>
      <c r="M987" t="s">
        <v>1640</v>
      </c>
    </row>
    <row r="988" spans="1:13" ht="15" customHeight="1" x14ac:dyDescent="0.25">
      <c r="A988" t="s">
        <v>2031</v>
      </c>
      <c r="B988" t="s">
        <v>327</v>
      </c>
      <c r="C988">
        <v>543516</v>
      </c>
      <c r="D988" t="s">
        <v>1641</v>
      </c>
      <c r="E988" t="s">
        <v>1642</v>
      </c>
      <c r="F988" t="s">
        <v>1643</v>
      </c>
      <c r="G988" t="s">
        <v>1644</v>
      </c>
      <c r="H988" t="s">
        <v>999</v>
      </c>
      <c r="I988" t="s">
        <v>1428</v>
      </c>
      <c r="J988" t="s">
        <v>1645</v>
      </c>
      <c r="K988" t="s">
        <v>55</v>
      </c>
      <c r="L988" t="s">
        <v>55</v>
      </c>
      <c r="M988" t="s">
        <v>1421</v>
      </c>
    </row>
    <row r="989" spans="1:13" ht="15" customHeight="1" x14ac:dyDescent="0.25">
      <c r="A989" t="s">
        <v>2033</v>
      </c>
      <c r="B989" t="s">
        <v>327</v>
      </c>
      <c r="C989">
        <v>544069</v>
      </c>
      <c r="D989" t="s">
        <v>1424</v>
      </c>
      <c r="E989" t="s">
        <v>1425</v>
      </c>
      <c r="F989" t="s">
        <v>1426</v>
      </c>
      <c r="G989" t="s">
        <v>1427</v>
      </c>
      <c r="H989" t="s">
        <v>1199</v>
      </c>
      <c r="I989" t="s">
        <v>1428</v>
      </c>
      <c r="J989" t="s">
        <v>770</v>
      </c>
      <c r="K989" t="s">
        <v>55</v>
      </c>
      <c r="L989" t="s">
        <v>55</v>
      </c>
      <c r="M989" t="s">
        <v>1429</v>
      </c>
    </row>
    <row r="990" spans="1:13" ht="15" customHeight="1" x14ac:dyDescent="0.25">
      <c r="A990" t="s">
        <v>2033</v>
      </c>
      <c r="B990" t="s">
        <v>327</v>
      </c>
      <c r="C990">
        <v>544090</v>
      </c>
      <c r="D990" t="s">
        <v>1430</v>
      </c>
      <c r="E990" t="s">
        <v>1431</v>
      </c>
      <c r="F990" t="s">
        <v>1432</v>
      </c>
      <c r="G990" t="s">
        <v>1433</v>
      </c>
      <c r="H990" t="s">
        <v>999</v>
      </c>
      <c r="I990" t="s">
        <v>1428</v>
      </c>
      <c r="J990" t="s">
        <v>1305</v>
      </c>
      <c r="K990" t="s">
        <v>55</v>
      </c>
      <c r="L990" t="s">
        <v>55</v>
      </c>
      <c r="M990" t="s">
        <v>1847</v>
      </c>
    </row>
    <row r="991" spans="1:13" ht="15" customHeight="1" x14ac:dyDescent="0.25">
      <c r="A991" t="s">
        <v>2033</v>
      </c>
      <c r="B991" t="s">
        <v>327</v>
      </c>
      <c r="C991">
        <v>543655</v>
      </c>
      <c r="D991" t="s">
        <v>1435</v>
      </c>
      <c r="E991" t="s">
        <v>1436</v>
      </c>
      <c r="F991" t="s">
        <v>1437</v>
      </c>
      <c r="G991" t="s">
        <v>1438</v>
      </c>
      <c r="H991" t="s">
        <v>1008</v>
      </c>
      <c r="I991" t="s">
        <v>1428</v>
      </c>
      <c r="J991" t="s">
        <v>809</v>
      </c>
      <c r="K991" t="s">
        <v>55</v>
      </c>
      <c r="L991" t="s">
        <v>55</v>
      </c>
      <c r="M991" t="s">
        <v>1848</v>
      </c>
    </row>
    <row r="992" spans="1:13" ht="15" customHeight="1" x14ac:dyDescent="0.25">
      <c r="A992" t="s">
        <v>2033</v>
      </c>
      <c r="B992" t="s">
        <v>327</v>
      </c>
      <c r="C992">
        <v>543710</v>
      </c>
      <c r="D992" t="s">
        <v>1440</v>
      </c>
      <c r="E992" t="s">
        <v>1441</v>
      </c>
      <c r="F992" t="s">
        <v>1442</v>
      </c>
      <c r="G992" t="s">
        <v>1443</v>
      </c>
      <c r="H992" t="s">
        <v>999</v>
      </c>
      <c r="I992" t="s">
        <v>1428</v>
      </c>
      <c r="J992" t="s">
        <v>609</v>
      </c>
      <c r="K992" t="s">
        <v>55</v>
      </c>
      <c r="L992" t="s">
        <v>55</v>
      </c>
      <c r="M992" t="s">
        <v>1569</v>
      </c>
    </row>
    <row r="993" spans="1:13" ht="15" customHeight="1" x14ac:dyDescent="0.25">
      <c r="A993" t="s">
        <v>2033</v>
      </c>
      <c r="B993" t="s">
        <v>327</v>
      </c>
      <c r="C993">
        <v>543503</v>
      </c>
      <c r="D993" t="s">
        <v>1445</v>
      </c>
      <c r="E993" t="s">
        <v>683</v>
      </c>
      <c r="F993" t="s">
        <v>1446</v>
      </c>
      <c r="G993" t="s">
        <v>1447</v>
      </c>
      <c r="H993" t="s">
        <v>999</v>
      </c>
      <c r="I993" t="s">
        <v>1428</v>
      </c>
      <c r="J993" t="s">
        <v>715</v>
      </c>
      <c r="K993" t="s">
        <v>55</v>
      </c>
      <c r="L993" t="s">
        <v>55</v>
      </c>
      <c r="M993" t="s">
        <v>1542</v>
      </c>
    </row>
    <row r="994" spans="1:13" ht="15" customHeight="1" x14ac:dyDescent="0.25">
      <c r="A994" t="s">
        <v>2033</v>
      </c>
      <c r="B994" t="s">
        <v>327</v>
      </c>
      <c r="C994">
        <v>543599</v>
      </c>
      <c r="D994" t="s">
        <v>1449</v>
      </c>
      <c r="E994" t="s">
        <v>1450</v>
      </c>
      <c r="F994" t="s">
        <v>1451</v>
      </c>
      <c r="G994" t="s">
        <v>1452</v>
      </c>
      <c r="H994" t="s">
        <v>999</v>
      </c>
      <c r="I994" t="s">
        <v>1428</v>
      </c>
      <c r="J994" t="s">
        <v>777</v>
      </c>
      <c r="K994" t="s">
        <v>55</v>
      </c>
      <c r="L994" t="s">
        <v>55</v>
      </c>
      <c r="M994" t="s">
        <v>1453</v>
      </c>
    </row>
    <row r="995" spans="1:13" ht="15" customHeight="1" x14ac:dyDescent="0.25">
      <c r="A995" t="s">
        <v>2033</v>
      </c>
      <c r="B995" t="s">
        <v>327</v>
      </c>
      <c r="C995">
        <v>543601</v>
      </c>
      <c r="D995" t="s">
        <v>1331</v>
      </c>
      <c r="E995" t="s">
        <v>1332</v>
      </c>
      <c r="F995" t="s">
        <v>1333</v>
      </c>
      <c r="G995" t="s">
        <v>1334</v>
      </c>
      <c r="H995" t="s">
        <v>1199</v>
      </c>
      <c r="I995" t="s">
        <v>1428</v>
      </c>
      <c r="J995" t="s">
        <v>1335</v>
      </c>
      <c r="K995" t="s">
        <v>55</v>
      </c>
      <c r="L995" t="s">
        <v>55</v>
      </c>
      <c r="M995" t="s">
        <v>1454</v>
      </c>
    </row>
    <row r="996" spans="1:13" ht="15" customHeight="1" x14ac:dyDescent="0.25">
      <c r="A996" t="s">
        <v>2033</v>
      </c>
      <c r="B996" t="s">
        <v>327</v>
      </c>
      <c r="C996">
        <v>543502</v>
      </c>
      <c r="D996" t="s">
        <v>1455</v>
      </c>
      <c r="E996" t="s">
        <v>60</v>
      </c>
      <c r="F996" t="s">
        <v>1456</v>
      </c>
      <c r="G996" t="s">
        <v>1457</v>
      </c>
      <c r="H996" t="s">
        <v>999</v>
      </c>
      <c r="I996" t="s">
        <v>1428</v>
      </c>
      <c r="J996" t="s">
        <v>1458</v>
      </c>
      <c r="K996" t="s">
        <v>55</v>
      </c>
      <c r="L996" t="s">
        <v>55</v>
      </c>
      <c r="M996" t="s">
        <v>1459</v>
      </c>
    </row>
    <row r="997" spans="1:13" ht="15" customHeight="1" x14ac:dyDescent="0.25">
      <c r="A997" t="s">
        <v>2033</v>
      </c>
      <c r="B997" t="s">
        <v>327</v>
      </c>
      <c r="C997">
        <v>543659</v>
      </c>
      <c r="D997" t="s">
        <v>1460</v>
      </c>
      <c r="E997" t="s">
        <v>1461</v>
      </c>
      <c r="F997" t="s">
        <v>1462</v>
      </c>
      <c r="G997" t="s">
        <v>1463</v>
      </c>
      <c r="H997" t="s">
        <v>1464</v>
      </c>
      <c r="I997" t="s">
        <v>1428</v>
      </c>
      <c r="J997" t="s">
        <v>660</v>
      </c>
      <c r="K997" t="s">
        <v>55</v>
      </c>
      <c r="L997" t="s">
        <v>55</v>
      </c>
      <c r="M997" t="s">
        <v>1602</v>
      </c>
    </row>
    <row r="998" spans="1:13" ht="15" customHeight="1" x14ac:dyDescent="0.25">
      <c r="A998" t="s">
        <v>2033</v>
      </c>
      <c r="B998" t="s">
        <v>327</v>
      </c>
      <c r="C998">
        <v>544091</v>
      </c>
      <c r="D998" t="s">
        <v>1466</v>
      </c>
      <c r="E998" t="s">
        <v>1467</v>
      </c>
      <c r="F998" t="s">
        <v>1468</v>
      </c>
      <c r="G998" t="s">
        <v>1469</v>
      </c>
      <c r="H998" t="s">
        <v>1464</v>
      </c>
      <c r="I998" t="s">
        <v>1428</v>
      </c>
      <c r="J998" t="s">
        <v>620</v>
      </c>
      <c r="K998" t="s">
        <v>55</v>
      </c>
      <c r="L998" t="s">
        <v>55</v>
      </c>
      <c r="M998" t="s">
        <v>1826</v>
      </c>
    </row>
    <row r="999" spans="1:13" ht="15" customHeight="1" x14ac:dyDescent="0.25">
      <c r="A999" t="s">
        <v>2033</v>
      </c>
      <c r="B999" t="s">
        <v>327</v>
      </c>
      <c r="C999">
        <v>543509</v>
      </c>
      <c r="D999" t="s">
        <v>1471</v>
      </c>
      <c r="E999" t="s">
        <v>1472</v>
      </c>
      <c r="F999" t="s">
        <v>1473</v>
      </c>
      <c r="G999" t="s">
        <v>1474</v>
      </c>
      <c r="H999" t="s">
        <v>1475</v>
      </c>
      <c r="I999" t="s">
        <v>1428</v>
      </c>
      <c r="J999" t="s">
        <v>1263</v>
      </c>
      <c r="K999" t="s">
        <v>55</v>
      </c>
      <c r="L999" t="s">
        <v>55</v>
      </c>
      <c r="M999" t="s">
        <v>1476</v>
      </c>
    </row>
    <row r="1000" spans="1:13" ht="15" customHeight="1" x14ac:dyDescent="0.25">
      <c r="A1000" t="s">
        <v>2033</v>
      </c>
      <c r="B1000" t="s">
        <v>327</v>
      </c>
      <c r="C1000">
        <v>543711</v>
      </c>
      <c r="D1000" t="s">
        <v>1477</v>
      </c>
      <c r="E1000" t="s">
        <v>1478</v>
      </c>
      <c r="F1000" t="s">
        <v>1479</v>
      </c>
      <c r="G1000" t="s">
        <v>1480</v>
      </c>
      <c r="H1000" t="s">
        <v>1481</v>
      </c>
      <c r="I1000" t="s">
        <v>1428</v>
      </c>
      <c r="J1000" t="s">
        <v>631</v>
      </c>
      <c r="K1000" t="s">
        <v>55</v>
      </c>
      <c r="L1000" t="s">
        <v>55</v>
      </c>
      <c r="M1000" t="s">
        <v>1482</v>
      </c>
    </row>
    <row r="1001" spans="1:13" ht="15" customHeight="1" x14ac:dyDescent="0.25">
      <c r="A1001" t="s">
        <v>2033</v>
      </c>
      <c r="B1001" t="s">
        <v>327</v>
      </c>
      <c r="C1001">
        <v>543499</v>
      </c>
      <c r="D1001" t="s">
        <v>1483</v>
      </c>
      <c r="E1001" t="s">
        <v>1484</v>
      </c>
      <c r="F1001" t="s">
        <v>1485</v>
      </c>
      <c r="G1001" t="s">
        <v>1486</v>
      </c>
      <c r="H1001" t="s">
        <v>1464</v>
      </c>
      <c r="I1001" t="s">
        <v>1428</v>
      </c>
      <c r="J1001" t="s">
        <v>751</v>
      </c>
      <c r="K1001" t="s">
        <v>55</v>
      </c>
      <c r="L1001" t="s">
        <v>55</v>
      </c>
      <c r="M1001" t="s">
        <v>1487</v>
      </c>
    </row>
    <row r="1002" spans="1:13" ht="15" customHeight="1" x14ac:dyDescent="0.25">
      <c r="A1002" t="s">
        <v>2033</v>
      </c>
      <c r="B1002" t="s">
        <v>327</v>
      </c>
      <c r="C1002">
        <v>543507</v>
      </c>
      <c r="D1002" t="s">
        <v>1342</v>
      </c>
      <c r="E1002" t="s">
        <v>1230</v>
      </c>
      <c r="F1002" t="s">
        <v>1343</v>
      </c>
      <c r="G1002" t="s">
        <v>1344</v>
      </c>
      <c r="H1002" t="s">
        <v>1199</v>
      </c>
      <c r="I1002" t="s">
        <v>1428</v>
      </c>
      <c r="J1002" t="s">
        <v>859</v>
      </c>
      <c r="K1002" t="s">
        <v>55</v>
      </c>
      <c r="L1002" t="s">
        <v>55</v>
      </c>
      <c r="M1002" t="s">
        <v>2034</v>
      </c>
    </row>
    <row r="1003" spans="1:13" ht="15" customHeight="1" x14ac:dyDescent="0.25">
      <c r="A1003" t="s">
        <v>2033</v>
      </c>
      <c r="B1003" t="s">
        <v>327</v>
      </c>
      <c r="C1003">
        <v>544117</v>
      </c>
      <c r="D1003" t="s">
        <v>1865</v>
      </c>
      <c r="E1003" t="s">
        <v>1866</v>
      </c>
      <c r="F1003" t="s">
        <v>1867</v>
      </c>
      <c r="G1003" t="s">
        <v>1868</v>
      </c>
      <c r="H1003" t="s">
        <v>1481</v>
      </c>
      <c r="I1003" t="s">
        <v>1428</v>
      </c>
      <c r="J1003" t="s">
        <v>715</v>
      </c>
      <c r="K1003" t="s">
        <v>55</v>
      </c>
      <c r="L1003" t="s">
        <v>55</v>
      </c>
      <c r="M1003" t="s">
        <v>1869</v>
      </c>
    </row>
    <row r="1004" spans="1:13" ht="15" customHeight="1" x14ac:dyDescent="0.25">
      <c r="A1004" t="s">
        <v>2033</v>
      </c>
      <c r="B1004" t="s">
        <v>327</v>
      </c>
      <c r="C1004">
        <v>543512</v>
      </c>
      <c r="D1004" t="s">
        <v>1488</v>
      </c>
      <c r="E1004" t="s">
        <v>1489</v>
      </c>
      <c r="F1004" t="s">
        <v>1490</v>
      </c>
      <c r="G1004" t="s">
        <v>1491</v>
      </c>
      <c r="H1004" t="s">
        <v>757</v>
      </c>
      <c r="I1004" t="s">
        <v>1428</v>
      </c>
      <c r="J1004" t="s">
        <v>770</v>
      </c>
      <c r="K1004" t="s">
        <v>55</v>
      </c>
      <c r="L1004" t="s">
        <v>55</v>
      </c>
      <c r="M1004" t="s">
        <v>1612</v>
      </c>
    </row>
    <row r="1005" spans="1:13" ht="15" customHeight="1" x14ac:dyDescent="0.25">
      <c r="A1005" t="s">
        <v>2033</v>
      </c>
      <c r="B1005" t="s">
        <v>327</v>
      </c>
      <c r="C1005">
        <v>543593</v>
      </c>
      <c r="D1005" t="s">
        <v>1492</v>
      </c>
      <c r="E1005" t="s">
        <v>1493</v>
      </c>
      <c r="F1005" t="s">
        <v>1494</v>
      </c>
      <c r="G1005" t="s">
        <v>1495</v>
      </c>
      <c r="H1005" t="s">
        <v>1199</v>
      </c>
      <c r="I1005" t="s">
        <v>1428</v>
      </c>
      <c r="J1005" t="s">
        <v>615</v>
      </c>
      <c r="K1005" t="s">
        <v>55</v>
      </c>
      <c r="L1005" t="s">
        <v>55</v>
      </c>
      <c r="M1005" t="s">
        <v>1591</v>
      </c>
    </row>
    <row r="1006" spans="1:13" ht="15" customHeight="1" x14ac:dyDescent="0.25">
      <c r="A1006" t="s">
        <v>2033</v>
      </c>
      <c r="B1006" t="s">
        <v>327</v>
      </c>
      <c r="C1006">
        <v>543592</v>
      </c>
      <c r="D1006" t="s">
        <v>1492</v>
      </c>
      <c r="E1006" t="s">
        <v>1496</v>
      </c>
      <c r="F1006" t="s">
        <v>1497</v>
      </c>
      <c r="G1006" t="s">
        <v>1498</v>
      </c>
      <c r="H1006" t="s">
        <v>1199</v>
      </c>
      <c r="I1006" t="s">
        <v>1428</v>
      </c>
      <c r="J1006" t="s">
        <v>637</v>
      </c>
      <c r="K1006" t="s">
        <v>55</v>
      </c>
      <c r="L1006" t="s">
        <v>55</v>
      </c>
      <c r="M1006" t="s">
        <v>1453</v>
      </c>
    </row>
    <row r="1007" spans="1:13" ht="15" customHeight="1" x14ac:dyDescent="0.25">
      <c r="A1007" t="s">
        <v>2033</v>
      </c>
      <c r="B1007" t="s">
        <v>327</v>
      </c>
      <c r="C1007">
        <v>544128</v>
      </c>
      <c r="D1007" t="s">
        <v>1499</v>
      </c>
      <c r="E1007" t="s">
        <v>1500</v>
      </c>
      <c r="F1007" t="s">
        <v>1501</v>
      </c>
      <c r="G1007" t="s">
        <v>1502</v>
      </c>
      <c r="H1007" t="s">
        <v>1050</v>
      </c>
      <c r="I1007" t="s">
        <v>1428</v>
      </c>
      <c r="J1007" t="s">
        <v>1075</v>
      </c>
      <c r="K1007" t="s">
        <v>55</v>
      </c>
      <c r="L1007" t="s">
        <v>55</v>
      </c>
      <c r="M1007" t="s">
        <v>1503</v>
      </c>
    </row>
    <row r="1008" spans="1:13" ht="15" customHeight="1" x14ac:dyDescent="0.25">
      <c r="A1008" t="s">
        <v>2033</v>
      </c>
      <c r="B1008" t="s">
        <v>327</v>
      </c>
      <c r="C1008">
        <v>544116</v>
      </c>
      <c r="D1008" t="s">
        <v>1849</v>
      </c>
      <c r="E1008" t="s">
        <v>1850</v>
      </c>
      <c r="F1008" t="s">
        <v>1851</v>
      </c>
      <c r="G1008" t="s">
        <v>1852</v>
      </c>
      <c r="H1008" t="s">
        <v>999</v>
      </c>
      <c r="I1008" t="s">
        <v>1428</v>
      </c>
      <c r="J1008" t="s">
        <v>660</v>
      </c>
      <c r="K1008" t="s">
        <v>55</v>
      </c>
      <c r="L1008" t="s">
        <v>55</v>
      </c>
      <c r="M1008" t="s">
        <v>1853</v>
      </c>
    </row>
    <row r="1009" spans="1:13" ht="15" customHeight="1" x14ac:dyDescent="0.25">
      <c r="A1009" t="s">
        <v>2033</v>
      </c>
      <c r="B1009" t="s">
        <v>327</v>
      </c>
      <c r="C1009">
        <v>543500</v>
      </c>
      <c r="D1009" t="s">
        <v>1504</v>
      </c>
      <c r="E1009" t="s">
        <v>1505</v>
      </c>
      <c r="F1009" t="s">
        <v>1506</v>
      </c>
      <c r="G1009" t="s">
        <v>1507</v>
      </c>
      <c r="H1009" t="s">
        <v>1508</v>
      </c>
      <c r="I1009" t="s">
        <v>1428</v>
      </c>
      <c r="J1009" t="s">
        <v>615</v>
      </c>
      <c r="K1009" t="s">
        <v>55</v>
      </c>
      <c r="L1009" t="s">
        <v>55</v>
      </c>
      <c r="M1009" t="s">
        <v>1509</v>
      </c>
    </row>
    <row r="1010" spans="1:13" ht="15" customHeight="1" x14ac:dyDescent="0.25">
      <c r="A1010" t="s">
        <v>2033</v>
      </c>
      <c r="B1010" t="s">
        <v>327</v>
      </c>
      <c r="C1010">
        <v>543668</v>
      </c>
      <c r="D1010" t="s">
        <v>1510</v>
      </c>
      <c r="E1010" t="s">
        <v>1511</v>
      </c>
      <c r="F1010" t="s">
        <v>1512</v>
      </c>
      <c r="G1010" t="s">
        <v>1513</v>
      </c>
      <c r="H1010" t="s">
        <v>803</v>
      </c>
      <c r="I1010" t="s">
        <v>1428</v>
      </c>
      <c r="J1010" t="s">
        <v>615</v>
      </c>
      <c r="K1010" t="s">
        <v>55</v>
      </c>
      <c r="L1010" t="s">
        <v>55</v>
      </c>
      <c r="M1010" t="s">
        <v>1826</v>
      </c>
    </row>
    <row r="1011" spans="1:13" ht="15" customHeight="1" x14ac:dyDescent="0.25">
      <c r="A1011" t="s">
        <v>2033</v>
      </c>
      <c r="B1011" t="s">
        <v>327</v>
      </c>
      <c r="C1011">
        <v>543596</v>
      </c>
      <c r="D1011" t="s">
        <v>1514</v>
      </c>
      <c r="E1011" t="s">
        <v>1515</v>
      </c>
      <c r="F1011" t="s">
        <v>1516</v>
      </c>
      <c r="G1011" t="s">
        <v>1517</v>
      </c>
      <c r="H1011" t="s">
        <v>1464</v>
      </c>
      <c r="I1011" t="s">
        <v>1428</v>
      </c>
      <c r="J1011" t="s">
        <v>615</v>
      </c>
      <c r="K1011" t="s">
        <v>55</v>
      </c>
      <c r="L1011" t="s">
        <v>55</v>
      </c>
      <c r="M1011" t="s">
        <v>1518</v>
      </c>
    </row>
    <row r="1012" spans="1:13" ht="15" customHeight="1" x14ac:dyDescent="0.25">
      <c r="A1012" t="s">
        <v>2033</v>
      </c>
      <c r="B1012" t="s">
        <v>327</v>
      </c>
      <c r="C1012">
        <v>543670</v>
      </c>
      <c r="D1012" t="s">
        <v>1519</v>
      </c>
      <c r="E1012" t="s">
        <v>1520</v>
      </c>
      <c r="F1012" t="s">
        <v>1521</v>
      </c>
      <c r="G1012" t="s">
        <v>1522</v>
      </c>
      <c r="H1012" t="s">
        <v>999</v>
      </c>
      <c r="I1012" t="s">
        <v>1428</v>
      </c>
      <c r="J1012" t="s">
        <v>1523</v>
      </c>
      <c r="K1012" t="s">
        <v>55</v>
      </c>
      <c r="L1012" t="s">
        <v>55</v>
      </c>
      <c r="M1012" t="s">
        <v>1827</v>
      </c>
    </row>
    <row r="1013" spans="1:13" ht="15" customHeight="1" x14ac:dyDescent="0.25">
      <c r="A1013" t="s">
        <v>2033</v>
      </c>
      <c r="B1013" t="s">
        <v>327</v>
      </c>
      <c r="C1013">
        <v>543511</v>
      </c>
      <c r="D1013" t="s">
        <v>1525</v>
      </c>
      <c r="E1013" t="s">
        <v>800</v>
      </c>
      <c r="F1013" t="s">
        <v>1526</v>
      </c>
      <c r="G1013" t="s">
        <v>1527</v>
      </c>
      <c r="H1013" t="s">
        <v>1008</v>
      </c>
      <c r="I1013" t="s">
        <v>1428</v>
      </c>
      <c r="J1013" t="s">
        <v>615</v>
      </c>
      <c r="K1013" t="s">
        <v>55</v>
      </c>
      <c r="L1013" t="s">
        <v>55</v>
      </c>
      <c r="M1013" t="s">
        <v>1454</v>
      </c>
    </row>
    <row r="1014" spans="1:13" ht="15" customHeight="1" x14ac:dyDescent="0.25">
      <c r="A1014" t="s">
        <v>2033</v>
      </c>
      <c r="B1014" t="s">
        <v>327</v>
      </c>
      <c r="C1014">
        <v>544114</v>
      </c>
      <c r="D1014" t="s">
        <v>1854</v>
      </c>
      <c r="E1014" t="s">
        <v>1855</v>
      </c>
      <c r="F1014" t="s">
        <v>1856</v>
      </c>
      <c r="G1014" t="s">
        <v>1857</v>
      </c>
      <c r="H1014" t="s">
        <v>1464</v>
      </c>
      <c r="I1014" t="s">
        <v>1428</v>
      </c>
      <c r="J1014" t="s">
        <v>609</v>
      </c>
      <c r="K1014" t="s">
        <v>55</v>
      </c>
      <c r="L1014" t="s">
        <v>55</v>
      </c>
      <c r="M1014" t="s">
        <v>1858</v>
      </c>
    </row>
    <row r="1015" spans="1:13" ht="15" customHeight="1" x14ac:dyDescent="0.25">
      <c r="A1015" t="s">
        <v>2033</v>
      </c>
      <c r="B1015" t="s">
        <v>327</v>
      </c>
      <c r="C1015">
        <v>543597</v>
      </c>
      <c r="D1015" t="s">
        <v>1528</v>
      </c>
      <c r="E1015" t="s">
        <v>1529</v>
      </c>
      <c r="F1015" t="s">
        <v>1530</v>
      </c>
      <c r="G1015" t="s">
        <v>1531</v>
      </c>
      <c r="H1015" t="s">
        <v>999</v>
      </c>
      <c r="I1015" t="s">
        <v>1428</v>
      </c>
      <c r="J1015" t="s">
        <v>609</v>
      </c>
      <c r="K1015" t="s">
        <v>55</v>
      </c>
      <c r="L1015" t="s">
        <v>55</v>
      </c>
      <c r="M1015" t="s">
        <v>1421</v>
      </c>
    </row>
    <row r="1016" spans="1:13" ht="15" customHeight="1" x14ac:dyDescent="0.25">
      <c r="A1016" t="s">
        <v>2033</v>
      </c>
      <c r="B1016" t="s">
        <v>327</v>
      </c>
      <c r="C1016">
        <v>543669</v>
      </c>
      <c r="D1016" t="s">
        <v>1532</v>
      </c>
      <c r="E1016" t="s">
        <v>1533</v>
      </c>
      <c r="F1016" t="s">
        <v>1534</v>
      </c>
      <c r="G1016" t="s">
        <v>1535</v>
      </c>
      <c r="H1016" t="s">
        <v>1481</v>
      </c>
      <c r="I1016" t="s">
        <v>1428</v>
      </c>
      <c r="J1016" t="s">
        <v>631</v>
      </c>
      <c r="K1016" t="s">
        <v>55</v>
      </c>
      <c r="L1016" t="s">
        <v>55</v>
      </c>
      <c r="M1016" t="s">
        <v>1536</v>
      </c>
    </row>
    <row r="1017" spans="1:13" ht="15" customHeight="1" x14ac:dyDescent="0.25">
      <c r="A1017" t="s">
        <v>2033</v>
      </c>
      <c r="B1017" t="s">
        <v>327</v>
      </c>
      <c r="C1017">
        <v>543591</v>
      </c>
      <c r="D1017" t="s">
        <v>1537</v>
      </c>
      <c r="E1017" t="s">
        <v>1538</v>
      </c>
      <c r="F1017" t="s">
        <v>1539</v>
      </c>
      <c r="G1017" t="s">
        <v>1540</v>
      </c>
      <c r="H1017" t="s">
        <v>999</v>
      </c>
      <c r="I1017" t="s">
        <v>1428</v>
      </c>
      <c r="J1017" t="s">
        <v>1541</v>
      </c>
      <c r="K1017" t="s">
        <v>55</v>
      </c>
      <c r="L1017" t="s">
        <v>55</v>
      </c>
      <c r="M1017" t="s">
        <v>1448</v>
      </c>
    </row>
    <row r="1018" spans="1:13" ht="15" customHeight="1" x14ac:dyDescent="0.25">
      <c r="A1018" t="s">
        <v>2033</v>
      </c>
      <c r="B1018" t="s">
        <v>327</v>
      </c>
      <c r="C1018">
        <v>544113</v>
      </c>
      <c r="D1018" t="s">
        <v>1036</v>
      </c>
      <c r="E1018" t="s">
        <v>1064</v>
      </c>
      <c r="F1018" t="s">
        <v>1859</v>
      </c>
      <c r="G1018" t="s">
        <v>1860</v>
      </c>
      <c r="H1018" t="s">
        <v>999</v>
      </c>
      <c r="I1018" t="s">
        <v>1428</v>
      </c>
      <c r="J1018" t="s">
        <v>777</v>
      </c>
      <c r="K1018" t="s">
        <v>55</v>
      </c>
      <c r="L1018" t="s">
        <v>55</v>
      </c>
      <c r="M1018" t="s">
        <v>1503</v>
      </c>
    </row>
    <row r="1019" spans="1:13" ht="15" customHeight="1" x14ac:dyDescent="0.25">
      <c r="A1019" t="s">
        <v>2033</v>
      </c>
      <c r="B1019" t="s">
        <v>327</v>
      </c>
      <c r="C1019">
        <v>543608</v>
      </c>
      <c r="D1019" t="s">
        <v>1543</v>
      </c>
      <c r="E1019" t="s">
        <v>1544</v>
      </c>
      <c r="F1019" t="s">
        <v>1545</v>
      </c>
      <c r="G1019" t="s">
        <v>1546</v>
      </c>
      <c r="H1019" t="s">
        <v>999</v>
      </c>
      <c r="I1019" t="s">
        <v>1428</v>
      </c>
      <c r="J1019" t="s">
        <v>927</v>
      </c>
      <c r="K1019" t="s">
        <v>55</v>
      </c>
      <c r="L1019" t="s">
        <v>55</v>
      </c>
      <c r="M1019" t="s">
        <v>1547</v>
      </c>
    </row>
    <row r="1020" spans="1:13" ht="15" customHeight="1" x14ac:dyDescent="0.25">
      <c r="A1020" t="s">
        <v>2033</v>
      </c>
      <c r="B1020" t="s">
        <v>327</v>
      </c>
      <c r="C1020">
        <v>543600</v>
      </c>
      <c r="D1020" t="s">
        <v>1543</v>
      </c>
      <c r="E1020" t="s">
        <v>1548</v>
      </c>
      <c r="F1020" t="s">
        <v>1549</v>
      </c>
      <c r="G1020" t="s">
        <v>1550</v>
      </c>
      <c r="H1020" t="s">
        <v>999</v>
      </c>
      <c r="I1020" t="s">
        <v>1428</v>
      </c>
      <c r="J1020" t="s">
        <v>1551</v>
      </c>
      <c r="K1020" t="s">
        <v>55</v>
      </c>
      <c r="L1020" t="s">
        <v>55</v>
      </c>
      <c r="M1020" t="s">
        <v>1552</v>
      </c>
    </row>
    <row r="1021" spans="1:13" ht="15" customHeight="1" x14ac:dyDescent="0.25">
      <c r="A1021" t="s">
        <v>2033</v>
      </c>
      <c r="B1021" t="s">
        <v>327</v>
      </c>
      <c r="C1021">
        <v>543513</v>
      </c>
      <c r="D1021" t="s">
        <v>1046</v>
      </c>
      <c r="E1021" t="s">
        <v>1047</v>
      </c>
      <c r="F1021" t="s">
        <v>1048</v>
      </c>
      <c r="G1021" t="s">
        <v>1049</v>
      </c>
      <c r="H1021" t="s">
        <v>1050</v>
      </c>
      <c r="I1021" t="s">
        <v>1428</v>
      </c>
      <c r="J1021" t="s">
        <v>1051</v>
      </c>
      <c r="K1021" t="s">
        <v>55</v>
      </c>
      <c r="L1021" t="s">
        <v>55</v>
      </c>
      <c r="M1021" t="s">
        <v>1553</v>
      </c>
    </row>
    <row r="1022" spans="1:13" ht="15" customHeight="1" x14ac:dyDescent="0.25">
      <c r="A1022" t="s">
        <v>2033</v>
      </c>
      <c r="B1022" t="s">
        <v>327</v>
      </c>
      <c r="C1022">
        <v>544088</v>
      </c>
      <c r="D1022" t="s">
        <v>1554</v>
      </c>
      <c r="E1022" t="s">
        <v>1555</v>
      </c>
      <c r="F1022" t="s">
        <v>1556</v>
      </c>
      <c r="G1022" t="s">
        <v>1557</v>
      </c>
      <c r="H1022" t="s">
        <v>1481</v>
      </c>
      <c r="I1022" t="s">
        <v>1428</v>
      </c>
      <c r="J1022" t="s">
        <v>620</v>
      </c>
      <c r="K1022" t="s">
        <v>55</v>
      </c>
      <c r="L1022" t="s">
        <v>55</v>
      </c>
      <c r="M1022" t="s">
        <v>1861</v>
      </c>
    </row>
    <row r="1023" spans="1:13" ht="15" customHeight="1" x14ac:dyDescent="0.25">
      <c r="A1023" t="s">
        <v>2033</v>
      </c>
      <c r="B1023" t="s">
        <v>327</v>
      </c>
      <c r="C1023">
        <v>544093</v>
      </c>
      <c r="D1023" t="s">
        <v>1559</v>
      </c>
      <c r="E1023" t="s">
        <v>1560</v>
      </c>
      <c r="F1023" t="s">
        <v>1561</v>
      </c>
      <c r="G1023" t="s">
        <v>1562</v>
      </c>
      <c r="H1023" t="s">
        <v>999</v>
      </c>
      <c r="I1023" t="s">
        <v>1428</v>
      </c>
      <c r="J1023" t="s">
        <v>637</v>
      </c>
      <c r="K1023" t="s">
        <v>55</v>
      </c>
      <c r="L1023" t="s">
        <v>55</v>
      </c>
      <c r="M1023" t="s">
        <v>1862</v>
      </c>
    </row>
    <row r="1024" spans="1:13" ht="15" customHeight="1" x14ac:dyDescent="0.25">
      <c r="A1024" t="s">
        <v>2033</v>
      </c>
      <c r="B1024" t="s">
        <v>327</v>
      </c>
      <c r="C1024">
        <v>544092</v>
      </c>
      <c r="D1024" t="s">
        <v>1564</v>
      </c>
      <c r="E1024" t="s">
        <v>1565</v>
      </c>
      <c r="F1024" t="s">
        <v>1566</v>
      </c>
      <c r="G1024" t="s">
        <v>1567</v>
      </c>
      <c r="H1024" t="s">
        <v>999</v>
      </c>
      <c r="I1024" t="s">
        <v>1428</v>
      </c>
      <c r="J1024" t="s">
        <v>1568</v>
      </c>
      <c r="K1024" t="s">
        <v>55</v>
      </c>
      <c r="L1024" t="s">
        <v>55</v>
      </c>
      <c r="M1024" t="s">
        <v>1569</v>
      </c>
    </row>
    <row r="1025" spans="1:13" ht="15" customHeight="1" x14ac:dyDescent="0.25">
      <c r="A1025" t="s">
        <v>2033</v>
      </c>
      <c r="B1025" t="s">
        <v>327</v>
      </c>
      <c r="C1025">
        <v>543811</v>
      </c>
      <c r="D1025" t="s">
        <v>1570</v>
      </c>
      <c r="E1025" t="s">
        <v>1571</v>
      </c>
      <c r="F1025" t="s">
        <v>1572</v>
      </c>
      <c r="G1025" t="s">
        <v>1573</v>
      </c>
      <c r="H1025" t="s">
        <v>1464</v>
      </c>
      <c r="I1025" t="s">
        <v>1428</v>
      </c>
      <c r="J1025" t="s">
        <v>615</v>
      </c>
      <c r="K1025" t="s">
        <v>55</v>
      </c>
      <c r="L1025" t="s">
        <v>55</v>
      </c>
      <c r="M1025" t="s">
        <v>1612</v>
      </c>
    </row>
    <row r="1026" spans="1:13" ht="15" customHeight="1" x14ac:dyDescent="0.25">
      <c r="A1026" t="s">
        <v>2033</v>
      </c>
      <c r="B1026" t="s">
        <v>327</v>
      </c>
      <c r="C1026">
        <v>544109</v>
      </c>
      <c r="D1026" t="s">
        <v>1829</v>
      </c>
      <c r="E1026" t="s">
        <v>891</v>
      </c>
      <c r="F1026" t="s">
        <v>892</v>
      </c>
      <c r="G1026" t="s">
        <v>893</v>
      </c>
      <c r="H1026" t="s">
        <v>1830</v>
      </c>
      <c r="I1026" t="s">
        <v>1428</v>
      </c>
      <c r="J1026" t="s">
        <v>660</v>
      </c>
      <c r="K1026" t="s">
        <v>55</v>
      </c>
      <c r="L1026" t="s">
        <v>55</v>
      </c>
      <c r="M1026" t="s">
        <v>1476</v>
      </c>
    </row>
    <row r="1027" spans="1:13" ht="15" customHeight="1" x14ac:dyDescent="0.25">
      <c r="A1027" t="s">
        <v>2033</v>
      </c>
      <c r="B1027" t="s">
        <v>327</v>
      </c>
      <c r="C1027">
        <v>543712</v>
      </c>
      <c r="D1027" t="s">
        <v>1574</v>
      </c>
      <c r="E1027" t="s">
        <v>1575</v>
      </c>
      <c r="F1027" t="s">
        <v>1576</v>
      </c>
      <c r="G1027" t="s">
        <v>1577</v>
      </c>
      <c r="H1027" t="s">
        <v>1199</v>
      </c>
      <c r="I1027" t="s">
        <v>1428</v>
      </c>
      <c r="J1027" t="s">
        <v>631</v>
      </c>
      <c r="K1027" t="s">
        <v>55</v>
      </c>
      <c r="L1027" t="s">
        <v>55</v>
      </c>
      <c r="M1027" t="s">
        <v>2032</v>
      </c>
    </row>
    <row r="1028" spans="1:13" ht="15" customHeight="1" x14ac:dyDescent="0.25">
      <c r="A1028" t="s">
        <v>2033</v>
      </c>
      <c r="B1028" t="s">
        <v>327</v>
      </c>
      <c r="C1028">
        <v>543658</v>
      </c>
      <c r="D1028" t="s">
        <v>1578</v>
      </c>
      <c r="E1028" t="s">
        <v>891</v>
      </c>
      <c r="F1028" t="s">
        <v>1579</v>
      </c>
      <c r="G1028" t="s">
        <v>1580</v>
      </c>
      <c r="H1028" t="s">
        <v>1008</v>
      </c>
      <c r="I1028" t="s">
        <v>1428</v>
      </c>
      <c r="J1028" t="s">
        <v>715</v>
      </c>
      <c r="K1028" t="s">
        <v>55</v>
      </c>
      <c r="L1028" t="s">
        <v>55</v>
      </c>
      <c r="M1028" t="s">
        <v>1581</v>
      </c>
    </row>
    <row r="1029" spans="1:13" ht="15" customHeight="1" x14ac:dyDescent="0.25">
      <c r="A1029" t="s">
        <v>2033</v>
      </c>
      <c r="B1029" t="s">
        <v>327</v>
      </c>
      <c r="C1029">
        <v>543657</v>
      </c>
      <c r="D1029" t="s">
        <v>1582</v>
      </c>
      <c r="E1029" t="s">
        <v>1583</v>
      </c>
      <c r="F1029" t="s">
        <v>1584</v>
      </c>
      <c r="G1029" t="s">
        <v>1585</v>
      </c>
      <c r="H1029" t="s">
        <v>911</v>
      </c>
      <c r="I1029" t="s">
        <v>1428</v>
      </c>
      <c r="J1029" t="s">
        <v>631</v>
      </c>
      <c r="K1029" t="s">
        <v>55</v>
      </c>
      <c r="L1029" t="s">
        <v>55</v>
      </c>
      <c r="M1029" t="s">
        <v>1586</v>
      </c>
    </row>
    <row r="1030" spans="1:13" ht="15" customHeight="1" x14ac:dyDescent="0.25">
      <c r="A1030" t="s">
        <v>2033</v>
      </c>
      <c r="B1030" t="s">
        <v>327</v>
      </c>
      <c r="C1030">
        <v>543656</v>
      </c>
      <c r="D1030" t="s">
        <v>1587</v>
      </c>
      <c r="E1030" t="s">
        <v>1588</v>
      </c>
      <c r="F1030" t="s">
        <v>1589</v>
      </c>
      <c r="G1030" t="s">
        <v>1590</v>
      </c>
      <c r="H1030" t="s">
        <v>911</v>
      </c>
      <c r="I1030" t="s">
        <v>1428</v>
      </c>
      <c r="J1030" t="s">
        <v>631</v>
      </c>
      <c r="K1030" t="s">
        <v>55</v>
      </c>
      <c r="L1030" t="s">
        <v>55</v>
      </c>
      <c r="M1030" t="s">
        <v>1586</v>
      </c>
    </row>
    <row r="1031" spans="1:13" ht="15" customHeight="1" x14ac:dyDescent="0.25">
      <c r="A1031" t="s">
        <v>2033</v>
      </c>
      <c r="B1031" t="s">
        <v>327</v>
      </c>
      <c r="C1031">
        <v>543514</v>
      </c>
      <c r="D1031" t="s">
        <v>1162</v>
      </c>
      <c r="E1031" t="s">
        <v>1163</v>
      </c>
      <c r="F1031" t="s">
        <v>1164</v>
      </c>
      <c r="G1031" t="s">
        <v>1165</v>
      </c>
      <c r="H1031" t="s">
        <v>999</v>
      </c>
      <c r="I1031" t="s">
        <v>1428</v>
      </c>
      <c r="J1031" t="s">
        <v>596</v>
      </c>
      <c r="K1031" t="s">
        <v>55</v>
      </c>
      <c r="L1031" t="s">
        <v>55</v>
      </c>
      <c r="M1031" t="s">
        <v>1863</v>
      </c>
    </row>
    <row r="1032" spans="1:13" ht="15" customHeight="1" x14ac:dyDescent="0.25">
      <c r="A1032" t="s">
        <v>2033</v>
      </c>
      <c r="B1032" t="s">
        <v>327</v>
      </c>
      <c r="C1032">
        <v>543661</v>
      </c>
      <c r="D1032" t="s">
        <v>1592</v>
      </c>
      <c r="E1032" t="s">
        <v>1593</v>
      </c>
      <c r="F1032" t="s">
        <v>1594</v>
      </c>
      <c r="G1032" t="s">
        <v>1595</v>
      </c>
      <c r="H1032" t="s">
        <v>1596</v>
      </c>
      <c r="I1032" t="s">
        <v>1428</v>
      </c>
      <c r="J1032" t="s">
        <v>603</v>
      </c>
      <c r="K1032" t="s">
        <v>55</v>
      </c>
      <c r="L1032" t="s">
        <v>55</v>
      </c>
      <c r="M1032" t="s">
        <v>1597</v>
      </c>
    </row>
    <row r="1033" spans="1:13" ht="15" customHeight="1" x14ac:dyDescent="0.25">
      <c r="A1033" t="s">
        <v>2033</v>
      </c>
      <c r="B1033" t="s">
        <v>327</v>
      </c>
      <c r="C1033">
        <v>543501</v>
      </c>
      <c r="D1033" t="s">
        <v>1598</v>
      </c>
      <c r="E1033" t="s">
        <v>1599</v>
      </c>
      <c r="F1033" t="s">
        <v>1600</v>
      </c>
      <c r="G1033" t="s">
        <v>1601</v>
      </c>
      <c r="H1033" t="s">
        <v>999</v>
      </c>
      <c r="I1033" t="s">
        <v>1428</v>
      </c>
      <c r="J1033" t="s">
        <v>615</v>
      </c>
      <c r="K1033" t="s">
        <v>55</v>
      </c>
      <c r="L1033" t="s">
        <v>55</v>
      </c>
      <c r="M1033" t="s">
        <v>1465</v>
      </c>
    </row>
    <row r="1034" spans="1:13" ht="15" customHeight="1" x14ac:dyDescent="0.25">
      <c r="A1034" t="s">
        <v>2033</v>
      </c>
      <c r="B1034" t="s">
        <v>327</v>
      </c>
      <c r="C1034">
        <v>543594</v>
      </c>
      <c r="D1034" t="s">
        <v>1603</v>
      </c>
      <c r="E1034" t="s">
        <v>1604</v>
      </c>
      <c r="F1034" t="s">
        <v>1605</v>
      </c>
      <c r="G1034" t="s">
        <v>1606</v>
      </c>
      <c r="H1034" t="s">
        <v>1377</v>
      </c>
      <c r="I1034" t="s">
        <v>1428</v>
      </c>
      <c r="J1034" t="s">
        <v>631</v>
      </c>
      <c r="K1034" t="s">
        <v>55</v>
      </c>
      <c r="L1034" t="s">
        <v>55</v>
      </c>
      <c r="M1034" t="s">
        <v>1607</v>
      </c>
    </row>
    <row r="1035" spans="1:13" ht="15" customHeight="1" x14ac:dyDescent="0.25">
      <c r="A1035" t="s">
        <v>2033</v>
      </c>
      <c r="B1035" t="s">
        <v>327</v>
      </c>
      <c r="C1035">
        <v>544095</v>
      </c>
      <c r="D1035" t="s">
        <v>1608</v>
      </c>
      <c r="E1035" t="s">
        <v>1609</v>
      </c>
      <c r="F1035" t="s">
        <v>1610</v>
      </c>
      <c r="G1035" t="s">
        <v>1611</v>
      </c>
      <c r="H1035" t="s">
        <v>999</v>
      </c>
      <c r="I1035" t="s">
        <v>1428</v>
      </c>
      <c r="J1035" t="s">
        <v>751</v>
      </c>
      <c r="K1035" t="s">
        <v>55</v>
      </c>
      <c r="L1035" t="s">
        <v>55</v>
      </c>
      <c r="M1035" t="s">
        <v>1454</v>
      </c>
    </row>
    <row r="1036" spans="1:13" ht="15" customHeight="1" x14ac:dyDescent="0.25">
      <c r="A1036" t="s">
        <v>2033</v>
      </c>
      <c r="B1036" t="s">
        <v>327</v>
      </c>
      <c r="C1036">
        <v>543504</v>
      </c>
      <c r="D1036" t="s">
        <v>1613</v>
      </c>
      <c r="E1036" t="s">
        <v>1614</v>
      </c>
      <c r="F1036" t="s">
        <v>1615</v>
      </c>
      <c r="G1036" t="s">
        <v>1616</v>
      </c>
      <c r="H1036" t="s">
        <v>1199</v>
      </c>
      <c r="I1036" t="s">
        <v>1428</v>
      </c>
      <c r="J1036" t="s">
        <v>620</v>
      </c>
      <c r="K1036" t="s">
        <v>55</v>
      </c>
      <c r="L1036" t="s">
        <v>55</v>
      </c>
      <c r="M1036" t="s">
        <v>1617</v>
      </c>
    </row>
    <row r="1037" spans="1:13" ht="15" customHeight="1" x14ac:dyDescent="0.25">
      <c r="A1037" t="s">
        <v>2033</v>
      </c>
      <c r="B1037" t="s">
        <v>327</v>
      </c>
      <c r="C1037">
        <v>543508</v>
      </c>
      <c r="D1037" t="s">
        <v>1409</v>
      </c>
      <c r="E1037" t="s">
        <v>1618</v>
      </c>
      <c r="F1037" t="s">
        <v>1619</v>
      </c>
      <c r="G1037" t="s">
        <v>1620</v>
      </c>
      <c r="H1037" t="s">
        <v>1199</v>
      </c>
      <c r="I1037" t="s">
        <v>1428</v>
      </c>
      <c r="J1037" t="s">
        <v>1621</v>
      </c>
      <c r="K1037" t="s">
        <v>55</v>
      </c>
      <c r="L1037" t="s">
        <v>55</v>
      </c>
      <c r="M1037" t="s">
        <v>1622</v>
      </c>
    </row>
    <row r="1038" spans="1:13" ht="15" customHeight="1" x14ac:dyDescent="0.25">
      <c r="A1038" t="s">
        <v>2033</v>
      </c>
      <c r="B1038" t="s">
        <v>327</v>
      </c>
      <c r="C1038">
        <v>543510</v>
      </c>
      <c r="D1038" t="s">
        <v>1623</v>
      </c>
      <c r="E1038" t="s">
        <v>1627</v>
      </c>
      <c r="F1038" t="s">
        <v>1628</v>
      </c>
      <c r="G1038" t="s">
        <v>1629</v>
      </c>
      <c r="H1038" t="s">
        <v>1475</v>
      </c>
      <c r="I1038" t="s">
        <v>1428</v>
      </c>
      <c r="J1038" t="s">
        <v>620</v>
      </c>
      <c r="K1038" t="s">
        <v>55</v>
      </c>
      <c r="L1038" t="s">
        <v>55</v>
      </c>
      <c r="M1038" t="s">
        <v>1617</v>
      </c>
    </row>
    <row r="1039" spans="1:13" ht="15" customHeight="1" x14ac:dyDescent="0.25">
      <c r="A1039" t="s">
        <v>2033</v>
      </c>
      <c r="B1039" t="s">
        <v>327</v>
      </c>
      <c r="C1039">
        <v>543505</v>
      </c>
      <c r="D1039" t="s">
        <v>1623</v>
      </c>
      <c r="E1039" t="s">
        <v>1624</v>
      </c>
      <c r="F1039" t="s">
        <v>1625</v>
      </c>
      <c r="G1039" t="s">
        <v>1626</v>
      </c>
      <c r="H1039" t="s">
        <v>1475</v>
      </c>
      <c r="I1039" t="s">
        <v>1428</v>
      </c>
      <c r="J1039" t="s">
        <v>620</v>
      </c>
      <c r="K1039" t="s">
        <v>55</v>
      </c>
      <c r="L1039" t="s">
        <v>55</v>
      </c>
      <c r="M1039" t="s">
        <v>1547</v>
      </c>
    </row>
    <row r="1040" spans="1:13" ht="15" customHeight="1" x14ac:dyDescent="0.25">
      <c r="A1040" t="s">
        <v>2033</v>
      </c>
      <c r="B1040" t="s">
        <v>327</v>
      </c>
      <c r="C1040">
        <v>543660</v>
      </c>
      <c r="D1040" t="s">
        <v>1630</v>
      </c>
      <c r="E1040" t="s">
        <v>1631</v>
      </c>
      <c r="F1040" t="s">
        <v>1632</v>
      </c>
      <c r="G1040" t="s">
        <v>1633</v>
      </c>
      <c r="H1040" t="s">
        <v>1199</v>
      </c>
      <c r="I1040" t="s">
        <v>1428</v>
      </c>
      <c r="J1040" t="s">
        <v>620</v>
      </c>
      <c r="K1040" t="s">
        <v>55</v>
      </c>
      <c r="L1040" t="s">
        <v>55</v>
      </c>
      <c r="M1040" t="s">
        <v>1634</v>
      </c>
    </row>
    <row r="1041" spans="1:13" ht="15" customHeight="1" x14ac:dyDescent="0.25">
      <c r="A1041" t="s">
        <v>2033</v>
      </c>
      <c r="B1041" t="s">
        <v>327</v>
      </c>
      <c r="C1041">
        <v>544094</v>
      </c>
      <c r="D1041" t="s">
        <v>1635</v>
      </c>
      <c r="E1041" t="s">
        <v>1636</v>
      </c>
      <c r="F1041" t="s">
        <v>1637</v>
      </c>
      <c r="G1041" t="s">
        <v>1638</v>
      </c>
      <c r="H1041" t="s">
        <v>999</v>
      </c>
      <c r="I1041" t="s">
        <v>1428</v>
      </c>
      <c r="J1041" t="s">
        <v>631</v>
      </c>
      <c r="K1041" t="s">
        <v>55</v>
      </c>
      <c r="L1041" t="s">
        <v>55</v>
      </c>
      <c r="M1041" t="s">
        <v>1470</v>
      </c>
    </row>
    <row r="1042" spans="1:13" ht="15" customHeight="1" x14ac:dyDescent="0.25">
      <c r="A1042" t="s">
        <v>2033</v>
      </c>
      <c r="B1042" t="s">
        <v>327</v>
      </c>
      <c r="C1042">
        <v>543515</v>
      </c>
      <c r="D1042" t="s">
        <v>1288</v>
      </c>
      <c r="E1042" t="s">
        <v>1289</v>
      </c>
      <c r="F1042" t="s">
        <v>1290</v>
      </c>
      <c r="G1042" t="s">
        <v>1291</v>
      </c>
      <c r="H1042" t="s">
        <v>803</v>
      </c>
      <c r="I1042" t="s">
        <v>1428</v>
      </c>
      <c r="J1042" t="s">
        <v>927</v>
      </c>
      <c r="K1042" t="s">
        <v>55</v>
      </c>
      <c r="L1042" t="s">
        <v>55</v>
      </c>
      <c r="M1042" t="s">
        <v>1640</v>
      </c>
    </row>
    <row r="1043" spans="1:13" ht="15" customHeight="1" x14ac:dyDescent="0.25">
      <c r="A1043" t="s">
        <v>2033</v>
      </c>
      <c r="B1043" t="s">
        <v>327</v>
      </c>
      <c r="C1043">
        <v>543516</v>
      </c>
      <c r="D1043" t="s">
        <v>1641</v>
      </c>
      <c r="E1043" t="s">
        <v>1642</v>
      </c>
      <c r="F1043" t="s">
        <v>1643</v>
      </c>
      <c r="G1043" t="s">
        <v>1644</v>
      </c>
      <c r="H1043" t="s">
        <v>999</v>
      </c>
      <c r="I1043" t="s">
        <v>1428</v>
      </c>
      <c r="J1043" t="s">
        <v>1645</v>
      </c>
      <c r="K1043" t="s">
        <v>55</v>
      </c>
      <c r="L1043" t="s">
        <v>55</v>
      </c>
      <c r="M1043" t="s">
        <v>1421</v>
      </c>
    </row>
    <row r="1044" spans="1:13" ht="15" customHeight="1" x14ac:dyDescent="0.25">
      <c r="A1044" t="s">
        <v>2035</v>
      </c>
      <c r="B1044" t="s">
        <v>293</v>
      </c>
      <c r="C1044">
        <v>544068</v>
      </c>
      <c r="D1044" t="s">
        <v>1310</v>
      </c>
      <c r="E1044" t="s">
        <v>1311</v>
      </c>
      <c r="F1044" t="s">
        <v>1312</v>
      </c>
      <c r="G1044" t="s">
        <v>1313</v>
      </c>
      <c r="H1044" t="s">
        <v>1314</v>
      </c>
      <c r="I1044" t="s">
        <v>1314</v>
      </c>
      <c r="J1044" t="s">
        <v>770</v>
      </c>
      <c r="K1044" t="s">
        <v>55</v>
      </c>
      <c r="L1044" t="s">
        <v>55</v>
      </c>
      <c r="M1044" t="s">
        <v>1315</v>
      </c>
    </row>
    <row r="1045" spans="1:13" ht="15" customHeight="1" x14ac:dyDescent="0.25">
      <c r="A1045" t="s">
        <v>2035</v>
      </c>
      <c r="B1045" t="s">
        <v>293</v>
      </c>
      <c r="C1045">
        <v>544148</v>
      </c>
      <c r="D1045" t="s">
        <v>1871</v>
      </c>
      <c r="E1045" t="s">
        <v>1872</v>
      </c>
      <c r="F1045" t="s">
        <v>1873</v>
      </c>
      <c r="G1045" t="s">
        <v>1874</v>
      </c>
      <c r="H1045" t="s">
        <v>1319</v>
      </c>
      <c r="I1045" t="s">
        <v>1319</v>
      </c>
      <c r="J1045" t="s">
        <v>715</v>
      </c>
      <c r="K1045" t="s">
        <v>55</v>
      </c>
      <c r="L1045" t="s">
        <v>55</v>
      </c>
      <c r="M1045" t="s">
        <v>1845</v>
      </c>
    </row>
    <row r="1046" spans="1:13" ht="15" customHeight="1" x14ac:dyDescent="0.25">
      <c r="A1046" t="s">
        <v>2035</v>
      </c>
      <c r="B1046" t="s">
        <v>293</v>
      </c>
      <c r="C1046">
        <v>544115</v>
      </c>
      <c r="D1046" t="s">
        <v>1835</v>
      </c>
      <c r="E1046" t="s">
        <v>732</v>
      </c>
      <c r="F1046" t="s">
        <v>1836</v>
      </c>
      <c r="G1046" t="s">
        <v>1837</v>
      </c>
      <c r="H1046" t="s">
        <v>1838</v>
      </c>
      <c r="I1046" t="s">
        <v>1838</v>
      </c>
      <c r="J1046" t="s">
        <v>1839</v>
      </c>
      <c r="K1046" t="s">
        <v>55</v>
      </c>
      <c r="L1046" t="s">
        <v>55</v>
      </c>
      <c r="M1046" t="s">
        <v>1315</v>
      </c>
    </row>
    <row r="1047" spans="1:13" ht="15" customHeight="1" x14ac:dyDescent="0.25">
      <c r="A1047" t="s">
        <v>2035</v>
      </c>
      <c r="B1047" t="s">
        <v>293</v>
      </c>
      <c r="C1047">
        <v>544072</v>
      </c>
      <c r="D1047" t="s">
        <v>1840</v>
      </c>
      <c r="E1047" t="s">
        <v>1841</v>
      </c>
      <c r="F1047" t="s">
        <v>1842</v>
      </c>
      <c r="G1047" t="s">
        <v>1843</v>
      </c>
      <c r="H1047" t="s">
        <v>1319</v>
      </c>
      <c r="I1047" t="s">
        <v>1319</v>
      </c>
      <c r="J1047" t="s">
        <v>1844</v>
      </c>
      <c r="K1047" t="s">
        <v>55</v>
      </c>
      <c r="L1047" t="s">
        <v>55</v>
      </c>
      <c r="M1047" t="s">
        <v>1845</v>
      </c>
    </row>
    <row r="1048" spans="1:13" ht="15" customHeight="1" x14ac:dyDescent="0.25">
      <c r="A1048" t="s">
        <v>2035</v>
      </c>
      <c r="B1048" t="s">
        <v>293</v>
      </c>
      <c r="C1048">
        <v>544151</v>
      </c>
      <c r="D1048" t="s">
        <v>2036</v>
      </c>
      <c r="E1048" t="s">
        <v>2037</v>
      </c>
      <c r="F1048" t="s">
        <v>2038</v>
      </c>
      <c r="G1048" t="s">
        <v>2039</v>
      </c>
      <c r="H1048" t="s">
        <v>61</v>
      </c>
      <c r="I1048" t="s">
        <v>61</v>
      </c>
      <c r="J1048" t="s">
        <v>715</v>
      </c>
      <c r="K1048" t="s">
        <v>55</v>
      </c>
      <c r="L1048" t="s">
        <v>55</v>
      </c>
      <c r="M1048" t="s">
        <v>1845</v>
      </c>
    </row>
    <row r="1049" spans="1:13" ht="15" customHeight="1" x14ac:dyDescent="0.25">
      <c r="A1049" t="s">
        <v>2035</v>
      </c>
      <c r="B1049" t="s">
        <v>293</v>
      </c>
      <c r="C1049">
        <v>544048</v>
      </c>
      <c r="D1049" t="s">
        <v>1316</v>
      </c>
      <c r="E1049" t="s">
        <v>1149</v>
      </c>
      <c r="F1049" t="s">
        <v>1317</v>
      </c>
      <c r="G1049" t="s">
        <v>1318</v>
      </c>
      <c r="H1049" t="s">
        <v>1319</v>
      </c>
      <c r="I1049" t="s">
        <v>1319</v>
      </c>
      <c r="J1049" t="s">
        <v>1320</v>
      </c>
      <c r="K1049" t="s">
        <v>55</v>
      </c>
      <c r="L1049" t="s">
        <v>55</v>
      </c>
      <c r="M1049" t="s">
        <v>1315</v>
      </c>
    </row>
    <row r="1050" spans="1:13" ht="15" customHeight="1" x14ac:dyDescent="0.25">
      <c r="A1050" t="s">
        <v>2040</v>
      </c>
      <c r="B1050" t="s">
        <v>547</v>
      </c>
      <c r="C1050">
        <v>544380</v>
      </c>
      <c r="D1050" t="s">
        <v>2041</v>
      </c>
      <c r="E1050" t="s">
        <v>2042</v>
      </c>
      <c r="F1050" t="s">
        <v>2043</v>
      </c>
      <c r="G1050" t="s">
        <v>2044</v>
      </c>
      <c r="H1050" t="s">
        <v>62</v>
      </c>
      <c r="I1050" t="s">
        <v>62</v>
      </c>
      <c r="J1050" t="s">
        <v>689</v>
      </c>
      <c r="K1050" t="s">
        <v>55</v>
      </c>
      <c r="L1050" t="s">
        <v>55</v>
      </c>
      <c r="M1050" t="s">
        <v>2045</v>
      </c>
    </row>
    <row r="1051" spans="1:13" ht="15" customHeight="1" x14ac:dyDescent="0.25">
      <c r="A1051" t="s">
        <v>2040</v>
      </c>
      <c r="B1051" t="s">
        <v>547</v>
      </c>
      <c r="C1051">
        <v>544234</v>
      </c>
      <c r="D1051" t="s">
        <v>2046</v>
      </c>
      <c r="E1051" t="s">
        <v>2047</v>
      </c>
      <c r="F1051" t="s">
        <v>2048</v>
      </c>
      <c r="G1051" t="s">
        <v>2049</v>
      </c>
      <c r="H1051" t="s">
        <v>64</v>
      </c>
      <c r="I1051" t="s">
        <v>61</v>
      </c>
      <c r="J1051" t="s">
        <v>631</v>
      </c>
      <c r="K1051" t="s">
        <v>55</v>
      </c>
      <c r="L1051" t="s">
        <v>55</v>
      </c>
      <c r="M1051" t="s">
        <v>2050</v>
      </c>
    </row>
    <row r="1052" spans="1:13" ht="15" customHeight="1" x14ac:dyDescent="0.25">
      <c r="A1052" t="s">
        <v>2040</v>
      </c>
      <c r="B1052" t="s">
        <v>547</v>
      </c>
      <c r="C1052">
        <v>544796</v>
      </c>
      <c r="D1052" t="s">
        <v>2051</v>
      </c>
      <c r="E1052" t="s">
        <v>2052</v>
      </c>
      <c r="F1052" t="s">
        <v>2053</v>
      </c>
      <c r="G1052" t="s">
        <v>2054</v>
      </c>
      <c r="H1052" t="s">
        <v>65</v>
      </c>
      <c r="I1052" t="s">
        <v>65</v>
      </c>
      <c r="J1052" t="s">
        <v>615</v>
      </c>
      <c r="K1052" t="s">
        <v>55</v>
      </c>
      <c r="L1052" t="s">
        <v>55</v>
      </c>
      <c r="M1052" t="s">
        <v>2055</v>
      </c>
    </row>
    <row r="1053" spans="1:13" ht="15" customHeight="1" x14ac:dyDescent="0.25">
      <c r="A1053" t="s">
        <v>2040</v>
      </c>
      <c r="B1053" t="s">
        <v>547</v>
      </c>
      <c r="C1053">
        <v>544252</v>
      </c>
      <c r="D1053" t="s">
        <v>592</v>
      </c>
      <c r="E1053" t="s">
        <v>593</v>
      </c>
      <c r="F1053" t="s">
        <v>594</v>
      </c>
      <c r="G1053" t="s">
        <v>595</v>
      </c>
      <c r="H1053" t="s">
        <v>61</v>
      </c>
      <c r="I1053" t="s">
        <v>61</v>
      </c>
      <c r="J1053" t="s">
        <v>596</v>
      </c>
      <c r="K1053" t="s">
        <v>55</v>
      </c>
      <c r="L1053" t="s">
        <v>55</v>
      </c>
      <c r="M1053" t="s">
        <v>2055</v>
      </c>
    </row>
    <row r="1054" spans="1:13" ht="15" customHeight="1" x14ac:dyDescent="0.25">
      <c r="A1054" t="s">
        <v>2040</v>
      </c>
      <c r="B1054" t="s">
        <v>547</v>
      </c>
      <c r="C1054">
        <v>544268</v>
      </c>
      <c r="D1054" t="s">
        <v>611</v>
      </c>
      <c r="E1054" t="s">
        <v>617</v>
      </c>
      <c r="F1054" t="s">
        <v>618</v>
      </c>
      <c r="G1054" t="s">
        <v>619</v>
      </c>
      <c r="H1054" t="s">
        <v>61</v>
      </c>
      <c r="I1054" t="s">
        <v>61</v>
      </c>
      <c r="J1054" t="s">
        <v>620</v>
      </c>
      <c r="K1054" t="s">
        <v>55</v>
      </c>
      <c r="L1054" t="s">
        <v>55</v>
      </c>
      <c r="M1054" t="s">
        <v>2056</v>
      </c>
    </row>
    <row r="1055" spans="1:13" ht="15" customHeight="1" x14ac:dyDescent="0.25">
      <c r="A1055" t="s">
        <v>2040</v>
      </c>
      <c r="B1055" t="s">
        <v>547</v>
      </c>
      <c r="C1055">
        <v>544269</v>
      </c>
      <c r="D1055" t="s">
        <v>611</v>
      </c>
      <c r="E1055" t="s">
        <v>2057</v>
      </c>
      <c r="F1055" t="s">
        <v>2058</v>
      </c>
      <c r="G1055" t="s">
        <v>2059</v>
      </c>
      <c r="H1055" t="s">
        <v>61</v>
      </c>
      <c r="I1055" t="s">
        <v>62</v>
      </c>
      <c r="J1055" t="s">
        <v>2060</v>
      </c>
      <c r="K1055" t="s">
        <v>55</v>
      </c>
      <c r="L1055" t="s">
        <v>55</v>
      </c>
      <c r="M1055" t="s">
        <v>2056</v>
      </c>
    </row>
    <row r="1056" spans="1:13" ht="15" customHeight="1" x14ac:dyDescent="0.25">
      <c r="A1056" t="s">
        <v>2040</v>
      </c>
      <c r="B1056" t="s">
        <v>547</v>
      </c>
      <c r="C1056">
        <v>544204</v>
      </c>
      <c r="D1056" t="s">
        <v>2061</v>
      </c>
      <c r="E1056" t="s">
        <v>2062</v>
      </c>
      <c r="F1056" t="s">
        <v>2063</v>
      </c>
      <c r="G1056" t="s">
        <v>2064</v>
      </c>
      <c r="H1056" t="s">
        <v>65</v>
      </c>
      <c r="I1056" t="s">
        <v>65</v>
      </c>
      <c r="J1056" t="s">
        <v>620</v>
      </c>
      <c r="K1056" t="s">
        <v>55</v>
      </c>
      <c r="L1056" t="s">
        <v>55</v>
      </c>
      <c r="M1056" t="s">
        <v>2065</v>
      </c>
    </row>
    <row r="1057" spans="1:13" ht="15" customHeight="1" x14ac:dyDescent="0.25">
      <c r="A1057" t="s">
        <v>2040</v>
      </c>
      <c r="B1057" t="s">
        <v>547</v>
      </c>
      <c r="C1057">
        <v>544547</v>
      </c>
      <c r="D1057" t="s">
        <v>2066</v>
      </c>
      <c r="E1057" t="s">
        <v>2067</v>
      </c>
      <c r="F1057" t="s">
        <v>2068</v>
      </c>
      <c r="G1057" t="s">
        <v>2069</v>
      </c>
      <c r="H1057" t="s">
        <v>65</v>
      </c>
      <c r="I1057" t="s">
        <v>65</v>
      </c>
      <c r="J1057" t="s">
        <v>1263</v>
      </c>
      <c r="K1057" t="s">
        <v>55</v>
      </c>
      <c r="L1057" t="s">
        <v>55</v>
      </c>
      <c r="M1057" t="s">
        <v>2056</v>
      </c>
    </row>
    <row r="1058" spans="1:13" ht="15" customHeight="1" x14ac:dyDescent="0.25">
      <c r="A1058" t="s">
        <v>2040</v>
      </c>
      <c r="B1058" t="s">
        <v>547</v>
      </c>
      <c r="C1058">
        <v>544419</v>
      </c>
      <c r="D1058" t="s">
        <v>2070</v>
      </c>
      <c r="E1058" t="s">
        <v>2071</v>
      </c>
      <c r="F1058" t="s">
        <v>2072</v>
      </c>
      <c r="G1058" t="s">
        <v>2073</v>
      </c>
      <c r="H1058" t="s">
        <v>2074</v>
      </c>
      <c r="I1058" t="s">
        <v>2074</v>
      </c>
      <c r="J1058" t="s">
        <v>620</v>
      </c>
      <c r="K1058" t="s">
        <v>55</v>
      </c>
      <c r="L1058" t="s">
        <v>55</v>
      </c>
      <c r="M1058" t="s">
        <v>2075</v>
      </c>
    </row>
    <row r="1059" spans="1:13" ht="15" customHeight="1" x14ac:dyDescent="0.25">
      <c r="A1059" t="s">
        <v>2040</v>
      </c>
      <c r="B1059" t="s">
        <v>547</v>
      </c>
      <c r="C1059">
        <v>544568</v>
      </c>
      <c r="D1059" t="s">
        <v>2076</v>
      </c>
      <c r="E1059" t="s">
        <v>2077</v>
      </c>
      <c r="F1059" t="s">
        <v>2078</v>
      </c>
      <c r="G1059" t="s">
        <v>2079</v>
      </c>
      <c r="H1059" t="s">
        <v>64</v>
      </c>
      <c r="I1059" t="s">
        <v>64</v>
      </c>
      <c r="J1059" t="s">
        <v>927</v>
      </c>
      <c r="K1059" t="s">
        <v>55</v>
      </c>
      <c r="L1059" t="s">
        <v>55</v>
      </c>
      <c r="M1059" t="s">
        <v>2050</v>
      </c>
    </row>
    <row r="1060" spans="1:13" ht="15" customHeight="1" x14ac:dyDescent="0.25">
      <c r="A1060" t="s">
        <v>2040</v>
      </c>
      <c r="B1060" t="s">
        <v>547</v>
      </c>
      <c r="C1060">
        <v>544381</v>
      </c>
      <c r="D1060" t="s">
        <v>2080</v>
      </c>
      <c r="E1060" t="s">
        <v>2081</v>
      </c>
      <c r="F1060" t="s">
        <v>2082</v>
      </c>
      <c r="G1060" t="s">
        <v>2083</v>
      </c>
      <c r="H1060" t="s">
        <v>66</v>
      </c>
      <c r="I1060" t="s">
        <v>66</v>
      </c>
      <c r="J1060" t="s">
        <v>615</v>
      </c>
      <c r="K1060" t="s">
        <v>55</v>
      </c>
      <c r="L1060" t="s">
        <v>55</v>
      </c>
      <c r="M1060" t="s">
        <v>2084</v>
      </c>
    </row>
    <row r="1061" spans="1:13" ht="15" customHeight="1" x14ac:dyDescent="0.25">
      <c r="A1061" t="s">
        <v>2040</v>
      </c>
      <c r="B1061" t="s">
        <v>547</v>
      </c>
      <c r="C1061">
        <v>544382</v>
      </c>
      <c r="D1061" t="s">
        <v>2080</v>
      </c>
      <c r="E1061" t="s">
        <v>2085</v>
      </c>
      <c r="F1061" t="s">
        <v>2086</v>
      </c>
      <c r="G1061" t="s">
        <v>2087</v>
      </c>
      <c r="H1061" t="s">
        <v>66</v>
      </c>
      <c r="I1061" t="s">
        <v>66</v>
      </c>
      <c r="J1061" t="s">
        <v>620</v>
      </c>
      <c r="K1061" t="s">
        <v>55</v>
      </c>
      <c r="L1061" t="s">
        <v>55</v>
      </c>
      <c r="M1061" t="s">
        <v>2084</v>
      </c>
    </row>
    <row r="1062" spans="1:13" ht="15" customHeight="1" x14ac:dyDescent="0.25">
      <c r="A1062" t="s">
        <v>2040</v>
      </c>
      <c r="B1062" t="s">
        <v>547</v>
      </c>
      <c r="C1062">
        <v>544353</v>
      </c>
      <c r="D1062" t="s">
        <v>2088</v>
      </c>
      <c r="E1062" t="s">
        <v>2089</v>
      </c>
      <c r="F1062" t="s">
        <v>2090</v>
      </c>
      <c r="G1062" t="s">
        <v>2091</v>
      </c>
      <c r="H1062" t="s">
        <v>62</v>
      </c>
      <c r="I1062" t="s">
        <v>62</v>
      </c>
      <c r="J1062" t="s">
        <v>917</v>
      </c>
      <c r="K1062" t="s">
        <v>55</v>
      </c>
      <c r="L1062" t="s">
        <v>55</v>
      </c>
      <c r="M1062" t="s">
        <v>2065</v>
      </c>
    </row>
    <row r="1063" spans="1:13" ht="15" customHeight="1" x14ac:dyDescent="0.25">
      <c r="A1063" t="s">
        <v>2040</v>
      </c>
      <c r="B1063" t="s">
        <v>547</v>
      </c>
      <c r="C1063">
        <v>545148</v>
      </c>
      <c r="D1063" t="s">
        <v>2092</v>
      </c>
      <c r="E1063" t="s">
        <v>2093</v>
      </c>
      <c r="F1063" t="s">
        <v>2094</v>
      </c>
      <c r="G1063" t="s">
        <v>2095</v>
      </c>
      <c r="H1063" t="s">
        <v>62</v>
      </c>
      <c r="I1063" t="s">
        <v>62</v>
      </c>
      <c r="J1063" t="s">
        <v>2096</v>
      </c>
      <c r="K1063" t="s">
        <v>55</v>
      </c>
      <c r="L1063" t="s">
        <v>55</v>
      </c>
      <c r="M1063" t="s">
        <v>2084</v>
      </c>
    </row>
    <row r="1064" spans="1:13" ht="15" customHeight="1" x14ac:dyDescent="0.25">
      <c r="A1064" t="s">
        <v>2040</v>
      </c>
      <c r="B1064" t="s">
        <v>547</v>
      </c>
      <c r="C1064">
        <v>544469</v>
      </c>
      <c r="D1064" t="s">
        <v>2097</v>
      </c>
      <c r="E1064" t="s">
        <v>2098</v>
      </c>
      <c r="F1064" t="s">
        <v>2099</v>
      </c>
      <c r="G1064" t="s">
        <v>2100</v>
      </c>
      <c r="H1064" t="s">
        <v>64</v>
      </c>
      <c r="I1064" t="s">
        <v>64</v>
      </c>
      <c r="J1064" t="s">
        <v>2101</v>
      </c>
      <c r="K1064" t="s">
        <v>55</v>
      </c>
      <c r="L1064" t="s">
        <v>55</v>
      </c>
      <c r="M1064" t="s">
        <v>2056</v>
      </c>
    </row>
    <row r="1065" spans="1:13" ht="15" customHeight="1" x14ac:dyDescent="0.25">
      <c r="A1065" t="s">
        <v>2040</v>
      </c>
      <c r="B1065" t="s">
        <v>547</v>
      </c>
      <c r="C1065">
        <v>544513</v>
      </c>
      <c r="D1065" t="s">
        <v>2102</v>
      </c>
      <c r="E1065" t="s">
        <v>2103</v>
      </c>
      <c r="F1065" t="s">
        <v>2104</v>
      </c>
      <c r="G1065" t="s">
        <v>2105</v>
      </c>
      <c r="H1065" t="s">
        <v>66</v>
      </c>
      <c r="I1065" t="s">
        <v>66</v>
      </c>
      <c r="J1065" t="s">
        <v>615</v>
      </c>
      <c r="K1065" t="s">
        <v>55</v>
      </c>
      <c r="L1065" t="s">
        <v>55</v>
      </c>
      <c r="M1065" t="s">
        <v>2106</v>
      </c>
    </row>
    <row r="1066" spans="1:13" ht="15" customHeight="1" x14ac:dyDescent="0.25">
      <c r="A1066" t="s">
        <v>2040</v>
      </c>
      <c r="B1066" t="s">
        <v>547</v>
      </c>
      <c r="C1066">
        <v>544792</v>
      </c>
      <c r="D1066" t="s">
        <v>2107</v>
      </c>
      <c r="E1066" t="s">
        <v>2108</v>
      </c>
      <c r="F1066" t="s">
        <v>2109</v>
      </c>
      <c r="G1066" t="s">
        <v>2110</v>
      </c>
      <c r="H1066" t="s">
        <v>62</v>
      </c>
      <c r="I1066" t="s">
        <v>62</v>
      </c>
      <c r="J1066" t="s">
        <v>1085</v>
      </c>
      <c r="K1066" t="s">
        <v>55</v>
      </c>
      <c r="L1066" t="s">
        <v>55</v>
      </c>
      <c r="M1066" t="s">
        <v>2111</v>
      </c>
    </row>
    <row r="1067" spans="1:13" ht="15" customHeight="1" x14ac:dyDescent="0.25">
      <c r="A1067" t="s">
        <v>2040</v>
      </c>
      <c r="B1067" t="s">
        <v>547</v>
      </c>
      <c r="C1067">
        <v>544217</v>
      </c>
      <c r="D1067" t="s">
        <v>2112</v>
      </c>
      <c r="E1067" t="s">
        <v>2113</v>
      </c>
      <c r="F1067" t="s">
        <v>2114</v>
      </c>
      <c r="G1067" t="s">
        <v>2115</v>
      </c>
      <c r="H1067" t="s">
        <v>65</v>
      </c>
      <c r="I1067" t="s">
        <v>65</v>
      </c>
      <c r="J1067" t="s">
        <v>2116</v>
      </c>
      <c r="K1067" t="s">
        <v>55</v>
      </c>
      <c r="L1067" t="s">
        <v>55</v>
      </c>
      <c r="M1067" t="s">
        <v>2056</v>
      </c>
    </row>
    <row r="1068" spans="1:13" ht="15" customHeight="1" x14ac:dyDescent="0.25">
      <c r="A1068" t="s">
        <v>2040</v>
      </c>
      <c r="B1068" t="s">
        <v>547</v>
      </c>
      <c r="C1068">
        <v>544230</v>
      </c>
      <c r="D1068" t="s">
        <v>2112</v>
      </c>
      <c r="E1068" t="s">
        <v>1297</v>
      </c>
      <c r="F1068" t="s">
        <v>2117</v>
      </c>
      <c r="G1068" t="s">
        <v>2118</v>
      </c>
      <c r="H1068" t="s">
        <v>65</v>
      </c>
      <c r="I1068" t="s">
        <v>65</v>
      </c>
      <c r="J1068" t="s">
        <v>631</v>
      </c>
      <c r="K1068" t="s">
        <v>55</v>
      </c>
      <c r="L1068" t="s">
        <v>55</v>
      </c>
      <c r="M1068" t="s">
        <v>2119</v>
      </c>
    </row>
    <row r="1069" spans="1:13" ht="15" customHeight="1" x14ac:dyDescent="0.25">
      <c r="A1069" t="s">
        <v>2040</v>
      </c>
      <c r="B1069" t="s">
        <v>547</v>
      </c>
      <c r="C1069">
        <v>544431</v>
      </c>
      <c r="D1069" t="s">
        <v>2120</v>
      </c>
      <c r="E1069" t="s">
        <v>2121</v>
      </c>
      <c r="F1069" t="s">
        <v>2122</v>
      </c>
      <c r="G1069" t="s">
        <v>2123</v>
      </c>
      <c r="H1069" t="s">
        <v>62</v>
      </c>
      <c r="I1069" t="s">
        <v>62</v>
      </c>
      <c r="J1069" t="s">
        <v>615</v>
      </c>
      <c r="K1069" t="s">
        <v>55</v>
      </c>
      <c r="L1069" t="s">
        <v>55</v>
      </c>
      <c r="M1069" t="s">
        <v>2050</v>
      </c>
    </row>
    <row r="1070" spans="1:13" ht="15" customHeight="1" x14ac:dyDescent="0.25">
      <c r="A1070" t="s">
        <v>2040</v>
      </c>
      <c r="B1070" t="s">
        <v>547</v>
      </c>
      <c r="C1070">
        <v>544376</v>
      </c>
      <c r="D1070" t="s">
        <v>2124</v>
      </c>
      <c r="E1070" t="s">
        <v>634</v>
      </c>
      <c r="F1070" t="s">
        <v>2125</v>
      </c>
      <c r="G1070" t="s">
        <v>2126</v>
      </c>
      <c r="H1070" t="s">
        <v>2127</v>
      </c>
      <c r="I1070" t="s">
        <v>2127</v>
      </c>
      <c r="J1070" t="s">
        <v>620</v>
      </c>
      <c r="K1070" t="s">
        <v>55</v>
      </c>
      <c r="L1070" t="s">
        <v>55</v>
      </c>
      <c r="M1070" t="s">
        <v>2050</v>
      </c>
    </row>
    <row r="1071" spans="1:13" ht="15" customHeight="1" x14ac:dyDescent="0.25">
      <c r="A1071" t="s">
        <v>2040</v>
      </c>
      <c r="B1071" t="s">
        <v>547</v>
      </c>
      <c r="C1071">
        <v>544433</v>
      </c>
      <c r="D1071" t="s">
        <v>2128</v>
      </c>
      <c r="E1071" t="s">
        <v>2129</v>
      </c>
      <c r="F1071" t="s">
        <v>2130</v>
      </c>
      <c r="G1071" t="s">
        <v>2131</v>
      </c>
      <c r="H1071" t="s">
        <v>64</v>
      </c>
      <c r="I1071" t="s">
        <v>64</v>
      </c>
      <c r="J1071" t="s">
        <v>1242</v>
      </c>
      <c r="K1071" t="s">
        <v>55</v>
      </c>
      <c r="L1071" t="s">
        <v>55</v>
      </c>
      <c r="M1071" t="s">
        <v>2084</v>
      </c>
    </row>
    <row r="1072" spans="1:13" ht="15" customHeight="1" x14ac:dyDescent="0.25">
      <c r="A1072" t="s">
        <v>2040</v>
      </c>
      <c r="B1072" t="s">
        <v>547</v>
      </c>
      <c r="C1072">
        <v>544562</v>
      </c>
      <c r="D1072" t="s">
        <v>2132</v>
      </c>
      <c r="E1072" t="s">
        <v>680</v>
      </c>
      <c r="F1072" t="s">
        <v>2133</v>
      </c>
      <c r="G1072" t="s">
        <v>2134</v>
      </c>
      <c r="H1072" t="s">
        <v>66</v>
      </c>
      <c r="I1072" t="s">
        <v>66</v>
      </c>
      <c r="J1072" t="s">
        <v>631</v>
      </c>
      <c r="K1072" t="s">
        <v>55</v>
      </c>
      <c r="L1072" t="s">
        <v>55</v>
      </c>
      <c r="M1072" t="s">
        <v>2050</v>
      </c>
    </row>
    <row r="1073" spans="1:13" ht="15" customHeight="1" x14ac:dyDescent="0.25">
      <c r="A1073" t="s">
        <v>2040</v>
      </c>
      <c r="B1073" t="s">
        <v>547</v>
      </c>
      <c r="C1073">
        <v>544409</v>
      </c>
      <c r="D1073" t="s">
        <v>2135</v>
      </c>
      <c r="E1073" t="s">
        <v>2136</v>
      </c>
      <c r="F1073" t="s">
        <v>2137</v>
      </c>
      <c r="G1073" t="s">
        <v>2138</v>
      </c>
      <c r="H1073" t="s">
        <v>62</v>
      </c>
      <c r="I1073" t="s">
        <v>62</v>
      </c>
      <c r="J1073" t="s">
        <v>615</v>
      </c>
      <c r="K1073" t="s">
        <v>55</v>
      </c>
      <c r="L1073" t="s">
        <v>55</v>
      </c>
      <c r="M1073" t="s">
        <v>2065</v>
      </c>
    </row>
    <row r="1074" spans="1:13" ht="15" customHeight="1" x14ac:dyDescent="0.25">
      <c r="A1074" t="s">
        <v>2040</v>
      </c>
      <c r="B1074" t="s">
        <v>547</v>
      </c>
      <c r="C1074">
        <v>544415</v>
      </c>
      <c r="D1074" t="s">
        <v>2135</v>
      </c>
      <c r="E1074" t="s">
        <v>2139</v>
      </c>
      <c r="F1074" t="s">
        <v>2140</v>
      </c>
      <c r="G1074" t="s">
        <v>2141</v>
      </c>
      <c r="H1074" t="s">
        <v>62</v>
      </c>
      <c r="I1074" t="s">
        <v>62</v>
      </c>
      <c r="J1074" t="s">
        <v>620</v>
      </c>
      <c r="K1074" t="s">
        <v>55</v>
      </c>
      <c r="L1074" t="s">
        <v>55</v>
      </c>
      <c r="M1074" t="s">
        <v>2065</v>
      </c>
    </row>
    <row r="1075" spans="1:13" ht="15" customHeight="1" x14ac:dyDescent="0.25">
      <c r="A1075" t="s">
        <v>2040</v>
      </c>
      <c r="B1075" t="s">
        <v>547</v>
      </c>
      <c r="C1075">
        <v>544250</v>
      </c>
      <c r="D1075" t="s">
        <v>2142</v>
      </c>
      <c r="E1075" t="s">
        <v>2143</v>
      </c>
      <c r="F1075" t="s">
        <v>2144</v>
      </c>
      <c r="G1075" t="s">
        <v>2145</v>
      </c>
      <c r="H1075" t="s">
        <v>65</v>
      </c>
      <c r="I1075" t="s">
        <v>65</v>
      </c>
      <c r="J1075" t="s">
        <v>615</v>
      </c>
      <c r="K1075" t="s">
        <v>55</v>
      </c>
      <c r="L1075" t="s">
        <v>55</v>
      </c>
      <c r="M1075" t="s">
        <v>2146</v>
      </c>
    </row>
    <row r="1076" spans="1:13" ht="15" customHeight="1" x14ac:dyDescent="0.25">
      <c r="A1076" t="s">
        <v>2040</v>
      </c>
      <c r="B1076" t="s">
        <v>547</v>
      </c>
      <c r="C1076">
        <v>544432</v>
      </c>
      <c r="D1076" t="s">
        <v>2147</v>
      </c>
      <c r="E1076" t="s">
        <v>2148</v>
      </c>
      <c r="F1076" t="s">
        <v>2149</v>
      </c>
      <c r="G1076" t="s">
        <v>2150</v>
      </c>
      <c r="H1076" t="s">
        <v>62</v>
      </c>
      <c r="I1076" t="s">
        <v>62</v>
      </c>
      <c r="J1076" t="s">
        <v>615</v>
      </c>
      <c r="K1076" t="s">
        <v>55</v>
      </c>
      <c r="L1076" t="s">
        <v>55</v>
      </c>
      <c r="M1076" t="s">
        <v>2056</v>
      </c>
    </row>
    <row r="1077" spans="1:13" ht="15" customHeight="1" x14ac:dyDescent="0.25">
      <c r="A1077" t="s">
        <v>2040</v>
      </c>
      <c r="B1077" t="s">
        <v>547</v>
      </c>
      <c r="C1077">
        <v>544253</v>
      </c>
      <c r="D1077" t="s">
        <v>662</v>
      </c>
      <c r="E1077" t="s">
        <v>663</v>
      </c>
      <c r="F1077" t="s">
        <v>664</v>
      </c>
      <c r="G1077" t="s">
        <v>665</v>
      </c>
      <c r="H1077" t="s">
        <v>61</v>
      </c>
      <c r="I1077" t="s">
        <v>61</v>
      </c>
      <c r="J1077" t="s">
        <v>620</v>
      </c>
      <c r="K1077" t="s">
        <v>55</v>
      </c>
      <c r="L1077" t="s">
        <v>55</v>
      </c>
      <c r="M1077" t="s">
        <v>2075</v>
      </c>
    </row>
    <row r="1078" spans="1:13" ht="15" customHeight="1" x14ac:dyDescent="0.25">
      <c r="A1078" t="s">
        <v>2040</v>
      </c>
      <c r="B1078" t="s">
        <v>547</v>
      </c>
      <c r="C1078">
        <v>544645</v>
      </c>
      <c r="D1078" t="s">
        <v>2151</v>
      </c>
      <c r="E1078" t="s">
        <v>2152</v>
      </c>
      <c r="F1078" t="s">
        <v>2153</v>
      </c>
      <c r="G1078" t="s">
        <v>2154</v>
      </c>
      <c r="H1078" t="s">
        <v>60</v>
      </c>
      <c r="I1078" t="s">
        <v>61</v>
      </c>
      <c r="J1078" t="s">
        <v>615</v>
      </c>
      <c r="K1078" t="s">
        <v>55</v>
      </c>
      <c r="L1078" t="s">
        <v>55</v>
      </c>
      <c r="M1078" t="s">
        <v>2055</v>
      </c>
    </row>
    <row r="1079" spans="1:13" ht="15" customHeight="1" x14ac:dyDescent="0.25">
      <c r="A1079" t="s">
        <v>2040</v>
      </c>
      <c r="B1079" t="s">
        <v>547</v>
      </c>
      <c r="C1079">
        <v>544589</v>
      </c>
      <c r="D1079" t="s">
        <v>2155</v>
      </c>
      <c r="E1079" t="s">
        <v>780</v>
      </c>
      <c r="F1079" t="s">
        <v>2156</v>
      </c>
      <c r="G1079" t="s">
        <v>2157</v>
      </c>
      <c r="H1079" t="s">
        <v>2158</v>
      </c>
      <c r="I1079" t="s">
        <v>2158</v>
      </c>
      <c r="J1079" t="s">
        <v>620</v>
      </c>
      <c r="K1079" t="s">
        <v>55</v>
      </c>
      <c r="L1079" t="s">
        <v>55</v>
      </c>
      <c r="M1079" t="s">
        <v>2084</v>
      </c>
    </row>
    <row r="1080" spans="1:13" ht="15" customHeight="1" x14ac:dyDescent="0.25">
      <c r="A1080" t="s">
        <v>2040</v>
      </c>
      <c r="B1080" t="s">
        <v>547</v>
      </c>
      <c r="C1080">
        <v>544378</v>
      </c>
      <c r="D1080" t="s">
        <v>2155</v>
      </c>
      <c r="E1080" t="s">
        <v>2159</v>
      </c>
      <c r="F1080" t="s">
        <v>2160</v>
      </c>
      <c r="G1080" t="s">
        <v>2161</v>
      </c>
      <c r="H1080" t="s">
        <v>2158</v>
      </c>
      <c r="I1080" t="s">
        <v>2158</v>
      </c>
      <c r="J1080" t="s">
        <v>660</v>
      </c>
      <c r="K1080" t="s">
        <v>55</v>
      </c>
      <c r="L1080" t="s">
        <v>55</v>
      </c>
      <c r="M1080" t="s">
        <v>2084</v>
      </c>
    </row>
    <row r="1081" spans="1:13" ht="15" customHeight="1" x14ac:dyDescent="0.25">
      <c r="A1081" t="s">
        <v>2040</v>
      </c>
      <c r="B1081" t="s">
        <v>547</v>
      </c>
      <c r="C1081">
        <v>544222</v>
      </c>
      <c r="D1081" t="s">
        <v>2162</v>
      </c>
      <c r="E1081" t="s">
        <v>2163</v>
      </c>
      <c r="F1081" t="s">
        <v>2164</v>
      </c>
      <c r="G1081" t="s">
        <v>2165</v>
      </c>
      <c r="H1081" t="s">
        <v>65</v>
      </c>
      <c r="I1081" t="s">
        <v>65</v>
      </c>
      <c r="J1081" t="s">
        <v>615</v>
      </c>
      <c r="K1081" t="s">
        <v>55</v>
      </c>
      <c r="L1081" t="s">
        <v>55</v>
      </c>
      <c r="M1081" t="s">
        <v>2055</v>
      </c>
    </row>
    <row r="1082" spans="1:13" ht="15" customHeight="1" x14ac:dyDescent="0.25">
      <c r="A1082" t="s">
        <v>2040</v>
      </c>
      <c r="B1082" t="s">
        <v>547</v>
      </c>
      <c r="C1082">
        <v>544223</v>
      </c>
      <c r="D1082" t="s">
        <v>2162</v>
      </c>
      <c r="E1082" t="s">
        <v>2166</v>
      </c>
      <c r="F1082" t="s">
        <v>2167</v>
      </c>
      <c r="G1082" t="s">
        <v>2168</v>
      </c>
      <c r="H1082" t="s">
        <v>65</v>
      </c>
      <c r="I1082" t="s">
        <v>65</v>
      </c>
      <c r="J1082" t="s">
        <v>1085</v>
      </c>
      <c r="K1082" t="s">
        <v>55</v>
      </c>
      <c r="L1082" t="s">
        <v>55</v>
      </c>
      <c r="M1082" t="s">
        <v>2119</v>
      </c>
    </row>
    <row r="1083" spans="1:13" ht="15" customHeight="1" x14ac:dyDescent="0.25">
      <c r="A1083" t="s">
        <v>2040</v>
      </c>
      <c r="B1083" t="s">
        <v>547</v>
      </c>
      <c r="C1083">
        <v>544553</v>
      </c>
      <c r="D1083" t="s">
        <v>2169</v>
      </c>
      <c r="E1083" t="s">
        <v>1362</v>
      </c>
      <c r="F1083" t="s">
        <v>2170</v>
      </c>
      <c r="G1083" t="s">
        <v>2171</v>
      </c>
      <c r="H1083" t="s">
        <v>66</v>
      </c>
      <c r="I1083" t="s">
        <v>66</v>
      </c>
      <c r="J1083" t="s">
        <v>2172</v>
      </c>
      <c r="K1083" t="s">
        <v>55</v>
      </c>
      <c r="L1083" t="s">
        <v>55</v>
      </c>
      <c r="M1083" t="s">
        <v>2119</v>
      </c>
    </row>
    <row r="1084" spans="1:13" ht="15" customHeight="1" x14ac:dyDescent="0.25">
      <c r="A1084" t="s">
        <v>2040</v>
      </c>
      <c r="B1084" t="s">
        <v>547</v>
      </c>
      <c r="C1084">
        <v>544506</v>
      </c>
      <c r="D1084" t="s">
        <v>2173</v>
      </c>
      <c r="E1084" t="s">
        <v>1060</v>
      </c>
      <c r="F1084" t="s">
        <v>2174</v>
      </c>
      <c r="G1084" t="s">
        <v>2175</v>
      </c>
      <c r="H1084" t="s">
        <v>62</v>
      </c>
      <c r="I1084" t="s">
        <v>62</v>
      </c>
      <c r="J1084" t="s">
        <v>2176</v>
      </c>
      <c r="K1084" t="s">
        <v>55</v>
      </c>
      <c r="L1084" t="s">
        <v>55</v>
      </c>
      <c r="M1084" t="s">
        <v>2075</v>
      </c>
    </row>
    <row r="1085" spans="1:13" ht="15" customHeight="1" x14ac:dyDescent="0.25">
      <c r="A1085" t="s">
        <v>2040</v>
      </c>
      <c r="B1085" t="s">
        <v>547</v>
      </c>
      <c r="C1085">
        <v>544384</v>
      </c>
      <c r="D1085" t="s">
        <v>666</v>
      </c>
      <c r="E1085" t="s">
        <v>667</v>
      </c>
      <c r="F1085" t="s">
        <v>668</v>
      </c>
      <c r="G1085" t="s">
        <v>669</v>
      </c>
      <c r="H1085" t="s">
        <v>61</v>
      </c>
      <c r="I1085" t="s">
        <v>62</v>
      </c>
      <c r="J1085" t="s">
        <v>609</v>
      </c>
      <c r="K1085" t="s">
        <v>55</v>
      </c>
      <c r="L1085" t="s">
        <v>55</v>
      </c>
      <c r="M1085" t="s">
        <v>2146</v>
      </c>
    </row>
    <row r="1086" spans="1:13" ht="15" customHeight="1" x14ac:dyDescent="0.25">
      <c r="A1086" t="s">
        <v>2040</v>
      </c>
      <c r="B1086" t="s">
        <v>547</v>
      </c>
      <c r="C1086">
        <v>544385</v>
      </c>
      <c r="D1086" t="s">
        <v>666</v>
      </c>
      <c r="E1086" t="s">
        <v>2177</v>
      </c>
      <c r="F1086" t="s">
        <v>2178</v>
      </c>
      <c r="G1086" t="s">
        <v>2179</v>
      </c>
      <c r="H1086" t="s">
        <v>61</v>
      </c>
      <c r="I1086" t="s">
        <v>61</v>
      </c>
      <c r="J1086" t="s">
        <v>620</v>
      </c>
      <c r="K1086" t="s">
        <v>55</v>
      </c>
      <c r="L1086" t="s">
        <v>55</v>
      </c>
      <c r="M1086" t="s">
        <v>2146</v>
      </c>
    </row>
    <row r="1087" spans="1:13" ht="15" customHeight="1" x14ac:dyDescent="0.25">
      <c r="A1087" t="s">
        <v>2040</v>
      </c>
      <c r="B1087" t="s">
        <v>547</v>
      </c>
      <c r="C1087">
        <v>544348</v>
      </c>
      <c r="D1087" t="s">
        <v>2180</v>
      </c>
      <c r="E1087" t="s">
        <v>2181</v>
      </c>
      <c r="F1087" t="s">
        <v>2182</v>
      </c>
      <c r="G1087" t="s">
        <v>2183</v>
      </c>
      <c r="H1087" t="s">
        <v>64</v>
      </c>
      <c r="I1087" t="s">
        <v>64</v>
      </c>
      <c r="J1087" t="s">
        <v>615</v>
      </c>
      <c r="K1087" t="s">
        <v>55</v>
      </c>
      <c r="L1087" t="s">
        <v>55</v>
      </c>
      <c r="M1087" t="s">
        <v>2056</v>
      </c>
    </row>
    <row r="1088" spans="1:13" ht="15" customHeight="1" x14ac:dyDescent="0.25">
      <c r="A1088" t="s">
        <v>2040</v>
      </c>
      <c r="B1088" t="s">
        <v>547</v>
      </c>
      <c r="C1088">
        <v>544349</v>
      </c>
      <c r="D1088" t="s">
        <v>2180</v>
      </c>
      <c r="E1088" t="s">
        <v>2184</v>
      </c>
      <c r="F1088" t="s">
        <v>2185</v>
      </c>
      <c r="G1088" t="s">
        <v>2186</v>
      </c>
      <c r="H1088" t="s">
        <v>64</v>
      </c>
      <c r="I1088" t="s">
        <v>64</v>
      </c>
      <c r="J1088" t="s">
        <v>660</v>
      </c>
      <c r="K1088" t="s">
        <v>55</v>
      </c>
      <c r="L1088" t="s">
        <v>55</v>
      </c>
      <c r="M1088" t="s">
        <v>2056</v>
      </c>
    </row>
    <row r="1089" spans="1:13" ht="15" customHeight="1" x14ac:dyDescent="0.25">
      <c r="A1089" t="s">
        <v>2040</v>
      </c>
      <c r="B1089" t="s">
        <v>547</v>
      </c>
      <c r="C1089">
        <v>544546</v>
      </c>
      <c r="D1089" t="s">
        <v>2187</v>
      </c>
      <c r="E1089" t="s">
        <v>2188</v>
      </c>
      <c r="F1089" t="s">
        <v>2189</v>
      </c>
      <c r="G1089" t="s">
        <v>2190</v>
      </c>
      <c r="H1089" t="s">
        <v>60</v>
      </c>
      <c r="I1089" t="s">
        <v>60</v>
      </c>
      <c r="J1089" t="s">
        <v>777</v>
      </c>
      <c r="K1089" t="s">
        <v>55</v>
      </c>
      <c r="L1089" t="s">
        <v>55</v>
      </c>
      <c r="M1089" t="s">
        <v>2111</v>
      </c>
    </row>
    <row r="1090" spans="1:13" ht="15" customHeight="1" x14ac:dyDescent="0.25">
      <c r="A1090" t="s">
        <v>2040</v>
      </c>
      <c r="B1090" t="s">
        <v>547</v>
      </c>
      <c r="C1090">
        <v>544356</v>
      </c>
      <c r="D1090" t="s">
        <v>2191</v>
      </c>
      <c r="E1090" t="s">
        <v>1940</v>
      </c>
      <c r="F1090" t="s">
        <v>2192</v>
      </c>
      <c r="G1090" t="s">
        <v>2193</v>
      </c>
      <c r="H1090" t="s">
        <v>62</v>
      </c>
      <c r="I1090" t="s">
        <v>62</v>
      </c>
      <c r="J1090" t="s">
        <v>631</v>
      </c>
      <c r="K1090" t="s">
        <v>55</v>
      </c>
      <c r="L1090" t="s">
        <v>55</v>
      </c>
      <c r="M1090" t="s">
        <v>2056</v>
      </c>
    </row>
    <row r="1091" spans="1:13" ht="15" customHeight="1" x14ac:dyDescent="0.25">
      <c r="A1091" t="s">
        <v>2040</v>
      </c>
      <c r="B1091" t="s">
        <v>547</v>
      </c>
      <c r="C1091">
        <v>544374</v>
      </c>
      <c r="D1091" t="s">
        <v>2194</v>
      </c>
      <c r="E1091" t="s">
        <v>2195</v>
      </c>
      <c r="F1091" t="s">
        <v>2196</v>
      </c>
      <c r="G1091" t="s">
        <v>2197</v>
      </c>
      <c r="H1091" t="s">
        <v>64</v>
      </c>
      <c r="I1091" t="s">
        <v>64</v>
      </c>
      <c r="J1091" t="s">
        <v>1085</v>
      </c>
      <c r="K1091" t="s">
        <v>55</v>
      </c>
      <c r="L1091" t="s">
        <v>55</v>
      </c>
      <c r="M1091" t="s">
        <v>2065</v>
      </c>
    </row>
    <row r="1092" spans="1:13" ht="15" customHeight="1" x14ac:dyDescent="0.25">
      <c r="A1092" t="s">
        <v>2040</v>
      </c>
      <c r="B1092" t="s">
        <v>547</v>
      </c>
      <c r="C1092">
        <v>544205</v>
      </c>
      <c r="D1092" t="s">
        <v>2198</v>
      </c>
      <c r="E1092" t="s">
        <v>1604</v>
      </c>
      <c r="F1092" t="s">
        <v>2199</v>
      </c>
      <c r="G1092" t="s">
        <v>2200</v>
      </c>
      <c r="H1092" t="s">
        <v>64</v>
      </c>
      <c r="I1092" t="s">
        <v>64</v>
      </c>
      <c r="J1092" t="s">
        <v>2201</v>
      </c>
      <c r="K1092" t="s">
        <v>55</v>
      </c>
      <c r="L1092" t="s">
        <v>55</v>
      </c>
      <c r="M1092" t="s">
        <v>2065</v>
      </c>
    </row>
    <row r="1093" spans="1:13" ht="15" customHeight="1" x14ac:dyDescent="0.25">
      <c r="A1093" t="s">
        <v>2040</v>
      </c>
      <c r="B1093" t="s">
        <v>547</v>
      </c>
      <c r="C1093">
        <v>544510</v>
      </c>
      <c r="D1093" t="s">
        <v>2202</v>
      </c>
      <c r="E1093" t="s">
        <v>2203</v>
      </c>
      <c r="F1093" t="s">
        <v>2204</v>
      </c>
      <c r="G1093" t="s">
        <v>2205</v>
      </c>
      <c r="H1093" t="s">
        <v>61</v>
      </c>
      <c r="I1093" t="s">
        <v>61</v>
      </c>
      <c r="J1093" t="s">
        <v>603</v>
      </c>
      <c r="K1093" t="s">
        <v>55</v>
      </c>
      <c r="L1093" t="s">
        <v>55</v>
      </c>
      <c r="M1093" t="s">
        <v>2055</v>
      </c>
    </row>
    <row r="1094" spans="1:13" ht="15" customHeight="1" x14ac:dyDescent="0.25">
      <c r="A1094" t="s">
        <v>2040</v>
      </c>
      <c r="B1094" t="s">
        <v>547</v>
      </c>
      <c r="C1094">
        <v>545269</v>
      </c>
      <c r="D1094" t="s">
        <v>2206</v>
      </c>
      <c r="E1094" t="s">
        <v>1053</v>
      </c>
      <c r="F1094" t="s">
        <v>2207</v>
      </c>
      <c r="G1094" t="s">
        <v>2208</v>
      </c>
      <c r="H1094" t="s">
        <v>60</v>
      </c>
      <c r="I1094" t="s">
        <v>60</v>
      </c>
      <c r="J1094" t="s">
        <v>720</v>
      </c>
      <c r="K1094" t="s">
        <v>55</v>
      </c>
      <c r="L1094" t="s">
        <v>55</v>
      </c>
      <c r="M1094" t="s">
        <v>2106</v>
      </c>
    </row>
    <row r="1095" spans="1:13" ht="15" customHeight="1" x14ac:dyDescent="0.25">
      <c r="A1095" t="s">
        <v>2040</v>
      </c>
      <c r="B1095" t="s">
        <v>547</v>
      </c>
      <c r="C1095">
        <v>544749</v>
      </c>
      <c r="D1095" t="s">
        <v>2209</v>
      </c>
      <c r="E1095" t="s">
        <v>2210</v>
      </c>
      <c r="F1095" t="s">
        <v>2211</v>
      </c>
      <c r="G1095" t="s">
        <v>2212</v>
      </c>
      <c r="H1095" t="s">
        <v>64</v>
      </c>
      <c r="I1095" t="s">
        <v>64</v>
      </c>
      <c r="J1095" t="s">
        <v>720</v>
      </c>
      <c r="K1095" t="s">
        <v>55</v>
      </c>
      <c r="L1095" t="s">
        <v>55</v>
      </c>
      <c r="M1095" t="s">
        <v>2111</v>
      </c>
    </row>
    <row r="1096" spans="1:13" ht="15" customHeight="1" x14ac:dyDescent="0.25">
      <c r="A1096" t="s">
        <v>2040</v>
      </c>
      <c r="B1096" t="s">
        <v>547</v>
      </c>
      <c r="C1096">
        <v>544355</v>
      </c>
      <c r="D1096" t="s">
        <v>2213</v>
      </c>
      <c r="E1096" t="s">
        <v>2214</v>
      </c>
      <c r="F1096" t="s">
        <v>2215</v>
      </c>
      <c r="G1096" t="s">
        <v>2216</v>
      </c>
      <c r="H1096" t="s">
        <v>62</v>
      </c>
      <c r="I1096" t="s">
        <v>62</v>
      </c>
      <c r="J1096" t="s">
        <v>2217</v>
      </c>
      <c r="K1096" t="s">
        <v>55</v>
      </c>
      <c r="L1096" t="s">
        <v>55</v>
      </c>
      <c r="M1096" t="s">
        <v>2056</v>
      </c>
    </row>
    <row r="1097" spans="1:13" ht="15" customHeight="1" x14ac:dyDescent="0.25">
      <c r="A1097" t="s">
        <v>2040</v>
      </c>
      <c r="B1097" t="s">
        <v>547</v>
      </c>
      <c r="C1097">
        <v>544388</v>
      </c>
      <c r="D1097" t="s">
        <v>2213</v>
      </c>
      <c r="E1097" t="s">
        <v>2218</v>
      </c>
      <c r="F1097" t="s">
        <v>2219</v>
      </c>
      <c r="G1097" t="s">
        <v>2220</v>
      </c>
      <c r="H1097" t="s">
        <v>62</v>
      </c>
      <c r="I1097" t="s">
        <v>62</v>
      </c>
      <c r="J1097" t="s">
        <v>603</v>
      </c>
      <c r="K1097" t="s">
        <v>55</v>
      </c>
      <c r="L1097" t="s">
        <v>55</v>
      </c>
      <c r="M1097" t="s">
        <v>2056</v>
      </c>
    </row>
    <row r="1098" spans="1:13" ht="15" customHeight="1" x14ac:dyDescent="0.25">
      <c r="A1098" t="s">
        <v>2040</v>
      </c>
      <c r="B1098" t="s">
        <v>547</v>
      </c>
      <c r="C1098">
        <v>544308</v>
      </c>
      <c r="D1098" t="s">
        <v>676</v>
      </c>
      <c r="E1098" t="s">
        <v>612</v>
      </c>
      <c r="F1098" t="s">
        <v>677</v>
      </c>
      <c r="G1098" t="s">
        <v>678</v>
      </c>
      <c r="H1098" t="s">
        <v>61</v>
      </c>
      <c r="I1098" t="s">
        <v>61</v>
      </c>
      <c r="J1098" t="s">
        <v>637</v>
      </c>
      <c r="K1098" t="s">
        <v>55</v>
      </c>
      <c r="L1098" t="s">
        <v>55</v>
      </c>
      <c r="M1098" t="s">
        <v>2056</v>
      </c>
    </row>
    <row r="1099" spans="1:13" ht="15" customHeight="1" x14ac:dyDescent="0.25">
      <c r="A1099" t="s">
        <v>2040</v>
      </c>
      <c r="B1099" t="s">
        <v>547</v>
      </c>
      <c r="C1099">
        <v>544417</v>
      </c>
      <c r="D1099" t="s">
        <v>2221</v>
      </c>
      <c r="E1099" t="s">
        <v>2222</v>
      </c>
      <c r="F1099" t="s">
        <v>2223</v>
      </c>
      <c r="G1099" t="s">
        <v>2224</v>
      </c>
      <c r="H1099" t="s">
        <v>66</v>
      </c>
      <c r="I1099" t="s">
        <v>66</v>
      </c>
      <c r="J1099" t="s">
        <v>615</v>
      </c>
      <c r="K1099" t="s">
        <v>55</v>
      </c>
      <c r="L1099" t="s">
        <v>55</v>
      </c>
      <c r="M1099" t="s">
        <v>2055</v>
      </c>
    </row>
    <row r="1100" spans="1:13" ht="15" customHeight="1" x14ac:dyDescent="0.25">
      <c r="A1100" t="s">
        <v>2040</v>
      </c>
      <c r="B1100" t="s">
        <v>547</v>
      </c>
      <c r="C1100">
        <v>544233</v>
      </c>
      <c r="D1100" t="s">
        <v>2225</v>
      </c>
      <c r="E1100" t="s">
        <v>2226</v>
      </c>
      <c r="F1100" t="s">
        <v>2227</v>
      </c>
      <c r="G1100" t="s">
        <v>2228</v>
      </c>
      <c r="H1100" t="s">
        <v>62</v>
      </c>
      <c r="I1100" t="s">
        <v>62</v>
      </c>
      <c r="J1100" t="s">
        <v>1458</v>
      </c>
      <c r="K1100" t="s">
        <v>55</v>
      </c>
      <c r="L1100" t="s">
        <v>55</v>
      </c>
      <c r="M1100" t="s">
        <v>2045</v>
      </c>
    </row>
    <row r="1101" spans="1:13" ht="15" customHeight="1" x14ac:dyDescent="0.25">
      <c r="A1101" t="s">
        <v>2040</v>
      </c>
      <c r="B1101" t="s">
        <v>547</v>
      </c>
      <c r="C1101">
        <v>544231</v>
      </c>
      <c r="D1101" t="s">
        <v>2229</v>
      </c>
      <c r="E1101" t="s">
        <v>2230</v>
      </c>
      <c r="F1101" t="s">
        <v>2231</v>
      </c>
      <c r="G1101" t="s">
        <v>2232</v>
      </c>
      <c r="H1101" t="s">
        <v>66</v>
      </c>
      <c r="I1101" t="s">
        <v>66</v>
      </c>
      <c r="J1101" t="s">
        <v>603</v>
      </c>
      <c r="K1101" t="s">
        <v>55</v>
      </c>
      <c r="L1101" t="s">
        <v>55</v>
      </c>
      <c r="M1101" t="s">
        <v>2111</v>
      </c>
    </row>
    <row r="1102" spans="1:13" ht="15" customHeight="1" x14ac:dyDescent="0.25">
      <c r="A1102" t="s">
        <v>2040</v>
      </c>
      <c r="B1102" t="s">
        <v>547</v>
      </c>
      <c r="C1102">
        <v>544530</v>
      </c>
      <c r="D1102" t="s">
        <v>2233</v>
      </c>
      <c r="E1102" t="s">
        <v>2234</v>
      </c>
      <c r="F1102" t="s">
        <v>2235</v>
      </c>
      <c r="G1102" t="s">
        <v>2236</v>
      </c>
      <c r="H1102" t="s">
        <v>2237</v>
      </c>
      <c r="I1102" t="s">
        <v>66</v>
      </c>
      <c r="J1102" t="s">
        <v>777</v>
      </c>
      <c r="K1102" t="s">
        <v>55</v>
      </c>
      <c r="L1102" t="s">
        <v>55</v>
      </c>
      <c r="M1102" t="s">
        <v>2111</v>
      </c>
    </row>
    <row r="1103" spans="1:13" ht="15" customHeight="1" x14ac:dyDescent="0.25">
      <c r="A1103" t="s">
        <v>2040</v>
      </c>
      <c r="B1103" t="s">
        <v>547</v>
      </c>
      <c r="C1103">
        <v>544232</v>
      </c>
      <c r="D1103" t="s">
        <v>2238</v>
      </c>
      <c r="E1103" t="s">
        <v>2239</v>
      </c>
      <c r="F1103" t="s">
        <v>2240</v>
      </c>
      <c r="G1103" t="s">
        <v>2241</v>
      </c>
      <c r="H1103" t="s">
        <v>64</v>
      </c>
      <c r="I1103" t="s">
        <v>2242</v>
      </c>
      <c r="J1103" t="s">
        <v>2243</v>
      </c>
      <c r="K1103" t="s">
        <v>55</v>
      </c>
      <c r="L1103" t="s">
        <v>55</v>
      </c>
      <c r="M1103" t="s">
        <v>2055</v>
      </c>
    </row>
    <row r="1104" spans="1:13" ht="15" customHeight="1" x14ac:dyDescent="0.25">
      <c r="A1104" t="s">
        <v>2040</v>
      </c>
      <c r="B1104" t="s">
        <v>547</v>
      </c>
      <c r="C1104">
        <v>544508</v>
      </c>
      <c r="D1104" t="s">
        <v>2244</v>
      </c>
      <c r="E1104" t="s">
        <v>970</v>
      </c>
      <c r="F1104" t="s">
        <v>2245</v>
      </c>
      <c r="G1104" t="s">
        <v>2246</v>
      </c>
      <c r="H1104" t="s">
        <v>64</v>
      </c>
      <c r="I1104" t="s">
        <v>64</v>
      </c>
      <c r="J1104" t="s">
        <v>689</v>
      </c>
      <c r="K1104" t="s">
        <v>55</v>
      </c>
      <c r="L1104" t="s">
        <v>55</v>
      </c>
      <c r="M1104" t="s">
        <v>2050</v>
      </c>
    </row>
    <row r="1105" spans="1:13" ht="15" customHeight="1" x14ac:dyDescent="0.25">
      <c r="A1105" t="s">
        <v>2040</v>
      </c>
      <c r="B1105" t="s">
        <v>547</v>
      </c>
      <c r="C1105">
        <v>544369</v>
      </c>
      <c r="D1105" t="s">
        <v>1968</v>
      </c>
      <c r="E1105" t="s">
        <v>1969</v>
      </c>
      <c r="F1105" t="s">
        <v>1970</v>
      </c>
      <c r="G1105" t="s">
        <v>1971</v>
      </c>
      <c r="H1105" t="s">
        <v>64</v>
      </c>
      <c r="I1105" t="s">
        <v>64</v>
      </c>
      <c r="J1105" t="s">
        <v>927</v>
      </c>
      <c r="K1105" t="s">
        <v>55</v>
      </c>
      <c r="L1105" t="s">
        <v>55</v>
      </c>
      <c r="M1105" t="s">
        <v>2106</v>
      </c>
    </row>
    <row r="1106" spans="1:13" ht="15" customHeight="1" x14ac:dyDescent="0.25">
      <c r="A1106" t="s">
        <v>2040</v>
      </c>
      <c r="B1106" t="s">
        <v>547</v>
      </c>
      <c r="C1106">
        <v>544370</v>
      </c>
      <c r="D1106" t="s">
        <v>2247</v>
      </c>
      <c r="E1106" t="s">
        <v>1400</v>
      </c>
      <c r="F1106" t="s">
        <v>2248</v>
      </c>
      <c r="G1106" t="s">
        <v>2249</v>
      </c>
      <c r="H1106" t="s">
        <v>64</v>
      </c>
      <c r="I1106" t="s">
        <v>64</v>
      </c>
      <c r="J1106" t="s">
        <v>603</v>
      </c>
      <c r="K1106" t="s">
        <v>55</v>
      </c>
      <c r="L1106" t="s">
        <v>55</v>
      </c>
      <c r="M1106" t="s">
        <v>2055</v>
      </c>
    </row>
    <row r="1107" spans="1:13" ht="15" customHeight="1" x14ac:dyDescent="0.25">
      <c r="A1107" t="s">
        <v>2040</v>
      </c>
      <c r="B1107" t="s">
        <v>547</v>
      </c>
      <c r="C1107">
        <v>544371</v>
      </c>
      <c r="D1107" t="s">
        <v>2247</v>
      </c>
      <c r="E1107" t="s">
        <v>2250</v>
      </c>
      <c r="F1107" t="s">
        <v>2251</v>
      </c>
      <c r="G1107" t="s">
        <v>2252</v>
      </c>
      <c r="H1107" t="s">
        <v>64</v>
      </c>
      <c r="I1107" t="s">
        <v>64</v>
      </c>
      <c r="J1107" t="s">
        <v>615</v>
      </c>
      <c r="K1107" t="s">
        <v>55</v>
      </c>
      <c r="L1107" t="s">
        <v>55</v>
      </c>
      <c r="M1107" t="s">
        <v>2055</v>
      </c>
    </row>
    <row r="1108" spans="1:13" ht="15" customHeight="1" x14ac:dyDescent="0.25">
      <c r="A1108" t="s">
        <v>2040</v>
      </c>
      <c r="B1108" t="s">
        <v>547</v>
      </c>
      <c r="C1108">
        <v>544228</v>
      </c>
      <c r="D1108" t="s">
        <v>1972</v>
      </c>
      <c r="E1108" t="s">
        <v>2253</v>
      </c>
      <c r="F1108" t="s">
        <v>2254</v>
      </c>
      <c r="G1108" t="s">
        <v>2255</v>
      </c>
      <c r="H1108" t="s">
        <v>64</v>
      </c>
      <c r="I1108" t="s">
        <v>64</v>
      </c>
      <c r="J1108" t="s">
        <v>631</v>
      </c>
      <c r="K1108" t="s">
        <v>55</v>
      </c>
      <c r="L1108" t="s">
        <v>55</v>
      </c>
      <c r="M1108" t="s">
        <v>2111</v>
      </c>
    </row>
    <row r="1109" spans="1:13" ht="15" customHeight="1" x14ac:dyDescent="0.25">
      <c r="A1109" t="s">
        <v>2040</v>
      </c>
      <c r="B1109" t="s">
        <v>547</v>
      </c>
      <c r="C1109">
        <v>544207</v>
      </c>
      <c r="D1109" t="s">
        <v>1972</v>
      </c>
      <c r="E1109" t="s">
        <v>1973</v>
      </c>
      <c r="F1109" t="s">
        <v>1974</v>
      </c>
      <c r="G1109" t="s">
        <v>1975</v>
      </c>
      <c r="H1109" t="s">
        <v>64</v>
      </c>
      <c r="I1109" t="s">
        <v>64</v>
      </c>
      <c r="J1109" t="s">
        <v>715</v>
      </c>
      <c r="K1109" t="s">
        <v>55</v>
      </c>
      <c r="L1109" t="s">
        <v>55</v>
      </c>
      <c r="M1109" t="s">
        <v>2075</v>
      </c>
    </row>
    <row r="1110" spans="1:13" ht="15" customHeight="1" x14ac:dyDescent="0.25">
      <c r="A1110" t="s">
        <v>2040</v>
      </c>
      <c r="B1110" t="s">
        <v>547</v>
      </c>
      <c r="C1110">
        <v>544379</v>
      </c>
      <c r="D1110" t="s">
        <v>2256</v>
      </c>
      <c r="E1110" t="s">
        <v>2257</v>
      </c>
      <c r="F1110" t="s">
        <v>2258</v>
      </c>
      <c r="G1110" t="s">
        <v>2259</v>
      </c>
      <c r="H1110" t="s">
        <v>62</v>
      </c>
      <c r="I1110" t="s">
        <v>62</v>
      </c>
      <c r="J1110" t="s">
        <v>1156</v>
      </c>
      <c r="K1110" t="s">
        <v>55</v>
      </c>
      <c r="L1110" t="s">
        <v>55</v>
      </c>
      <c r="M1110" t="s">
        <v>2065</v>
      </c>
    </row>
    <row r="1111" spans="1:13" ht="15" customHeight="1" x14ac:dyDescent="0.25">
      <c r="A1111" t="s">
        <v>2040</v>
      </c>
      <c r="B1111" t="s">
        <v>547</v>
      </c>
      <c r="C1111">
        <v>544359</v>
      </c>
      <c r="D1111" t="s">
        <v>2260</v>
      </c>
      <c r="E1111" t="s">
        <v>2261</v>
      </c>
      <c r="F1111" t="s">
        <v>2262</v>
      </c>
      <c r="G1111" t="s">
        <v>2263</v>
      </c>
      <c r="H1111" t="s">
        <v>61</v>
      </c>
      <c r="I1111" t="s">
        <v>61</v>
      </c>
      <c r="J1111" t="s">
        <v>596</v>
      </c>
      <c r="K1111" t="s">
        <v>55</v>
      </c>
      <c r="L1111" t="s">
        <v>55</v>
      </c>
      <c r="M1111" t="s">
        <v>2045</v>
      </c>
    </row>
    <row r="1112" spans="1:13" ht="15" customHeight="1" x14ac:dyDescent="0.25">
      <c r="A1112" t="s">
        <v>2040</v>
      </c>
      <c r="B1112" t="s">
        <v>547</v>
      </c>
      <c r="C1112">
        <v>544360</v>
      </c>
      <c r="D1112" t="s">
        <v>2260</v>
      </c>
      <c r="E1112" t="s">
        <v>767</v>
      </c>
      <c r="F1112" t="s">
        <v>2264</v>
      </c>
      <c r="G1112" t="s">
        <v>2265</v>
      </c>
      <c r="H1112" t="s">
        <v>61</v>
      </c>
      <c r="I1112" t="s">
        <v>61</v>
      </c>
      <c r="J1112" t="s">
        <v>2266</v>
      </c>
      <c r="K1112" t="s">
        <v>55</v>
      </c>
      <c r="L1112" t="s">
        <v>55</v>
      </c>
      <c r="M1112" t="s">
        <v>2045</v>
      </c>
    </row>
    <row r="1113" spans="1:13" ht="15" customHeight="1" x14ac:dyDescent="0.25">
      <c r="A1113" t="s">
        <v>2040</v>
      </c>
      <c r="B1113" t="s">
        <v>547</v>
      </c>
      <c r="C1113">
        <v>544789</v>
      </c>
      <c r="D1113" t="s">
        <v>2267</v>
      </c>
      <c r="E1113" t="s">
        <v>2268</v>
      </c>
      <c r="F1113" t="s">
        <v>2269</v>
      </c>
      <c r="G1113" t="s">
        <v>2270</v>
      </c>
      <c r="H1113" t="s">
        <v>66</v>
      </c>
      <c r="I1113" t="s">
        <v>66</v>
      </c>
      <c r="J1113" t="s">
        <v>615</v>
      </c>
      <c r="K1113" t="s">
        <v>55</v>
      </c>
      <c r="L1113" t="s">
        <v>55</v>
      </c>
      <c r="M1113" t="s">
        <v>2050</v>
      </c>
    </row>
    <row r="1114" spans="1:13" ht="15" customHeight="1" x14ac:dyDescent="0.25">
      <c r="A1114" t="s">
        <v>2040</v>
      </c>
      <c r="B1114" t="s">
        <v>547</v>
      </c>
      <c r="C1114">
        <v>544237</v>
      </c>
      <c r="D1114" t="s">
        <v>2271</v>
      </c>
      <c r="E1114" t="s">
        <v>2272</v>
      </c>
      <c r="F1114" t="s">
        <v>2273</v>
      </c>
      <c r="G1114" t="s">
        <v>2274</v>
      </c>
      <c r="H1114" t="s">
        <v>560</v>
      </c>
      <c r="I1114" t="s">
        <v>560</v>
      </c>
      <c r="J1114" t="s">
        <v>777</v>
      </c>
      <c r="K1114" t="s">
        <v>55</v>
      </c>
      <c r="L1114" t="s">
        <v>55</v>
      </c>
      <c r="M1114" t="s">
        <v>2111</v>
      </c>
    </row>
    <row r="1115" spans="1:13" ht="15" customHeight="1" x14ac:dyDescent="0.25">
      <c r="A1115" t="s">
        <v>2040</v>
      </c>
      <c r="B1115" t="s">
        <v>547</v>
      </c>
      <c r="C1115">
        <v>544254</v>
      </c>
      <c r="D1115" t="s">
        <v>2275</v>
      </c>
      <c r="E1115" t="s">
        <v>2276</v>
      </c>
      <c r="F1115" t="s">
        <v>2277</v>
      </c>
      <c r="G1115" t="s">
        <v>2278</v>
      </c>
      <c r="H1115" t="s">
        <v>65</v>
      </c>
      <c r="I1115" t="s">
        <v>65</v>
      </c>
      <c r="J1115" t="s">
        <v>2116</v>
      </c>
      <c r="K1115" t="s">
        <v>55</v>
      </c>
      <c r="L1115" t="s">
        <v>55</v>
      </c>
      <c r="M1115" t="s">
        <v>2146</v>
      </c>
    </row>
    <row r="1116" spans="1:13" ht="15" customHeight="1" x14ac:dyDescent="0.25">
      <c r="A1116" t="s">
        <v>2040</v>
      </c>
      <c r="B1116" t="s">
        <v>547</v>
      </c>
      <c r="C1116">
        <v>544418</v>
      </c>
      <c r="D1116" t="s">
        <v>2279</v>
      </c>
      <c r="E1116" t="s">
        <v>2280</v>
      </c>
      <c r="F1116" t="s">
        <v>2281</v>
      </c>
      <c r="G1116" t="s">
        <v>2282</v>
      </c>
      <c r="H1116" t="s">
        <v>60</v>
      </c>
      <c r="I1116" t="s">
        <v>60</v>
      </c>
      <c r="J1116" t="s">
        <v>927</v>
      </c>
      <c r="K1116" t="s">
        <v>55</v>
      </c>
      <c r="L1116" t="s">
        <v>55</v>
      </c>
      <c r="M1116" t="s">
        <v>2065</v>
      </c>
    </row>
    <row r="1117" spans="1:13" ht="15" customHeight="1" x14ac:dyDescent="0.25">
      <c r="A1117" t="s">
        <v>2040</v>
      </c>
      <c r="B1117" t="s">
        <v>547</v>
      </c>
      <c r="C1117">
        <v>544218</v>
      </c>
      <c r="D1117" t="s">
        <v>2283</v>
      </c>
      <c r="E1117" t="s">
        <v>1023</v>
      </c>
      <c r="F1117" t="s">
        <v>2284</v>
      </c>
      <c r="G1117" t="s">
        <v>2285</v>
      </c>
      <c r="H1117" t="s">
        <v>66</v>
      </c>
      <c r="I1117" t="s">
        <v>66</v>
      </c>
      <c r="J1117" t="s">
        <v>603</v>
      </c>
      <c r="K1117" t="s">
        <v>55</v>
      </c>
      <c r="L1117" t="s">
        <v>55</v>
      </c>
      <c r="M1117" t="s">
        <v>2111</v>
      </c>
    </row>
    <row r="1118" spans="1:13" ht="15" customHeight="1" x14ac:dyDescent="0.25">
      <c r="A1118" t="s">
        <v>2040</v>
      </c>
      <c r="B1118" t="s">
        <v>547</v>
      </c>
      <c r="C1118">
        <v>545172</v>
      </c>
      <c r="D1118" t="s">
        <v>2286</v>
      </c>
      <c r="E1118" t="s">
        <v>2287</v>
      </c>
      <c r="F1118" t="s">
        <v>2288</v>
      </c>
      <c r="G1118" t="s">
        <v>2289</v>
      </c>
      <c r="H1118" t="s">
        <v>61</v>
      </c>
      <c r="I1118" t="s">
        <v>61</v>
      </c>
      <c r="J1118" t="s">
        <v>615</v>
      </c>
      <c r="K1118" t="s">
        <v>55</v>
      </c>
      <c r="L1118" t="s">
        <v>55</v>
      </c>
      <c r="M1118" t="s">
        <v>2075</v>
      </c>
    </row>
    <row r="1119" spans="1:13" ht="15" customHeight="1" x14ac:dyDescent="0.25">
      <c r="A1119" t="s">
        <v>2040</v>
      </c>
      <c r="B1119" t="s">
        <v>547</v>
      </c>
      <c r="C1119">
        <v>544373</v>
      </c>
      <c r="D1119" t="s">
        <v>2290</v>
      </c>
      <c r="E1119" t="s">
        <v>2291</v>
      </c>
      <c r="F1119" t="s">
        <v>2292</v>
      </c>
      <c r="G1119" t="s">
        <v>2293</v>
      </c>
      <c r="H1119" t="s">
        <v>64</v>
      </c>
      <c r="I1119" t="s">
        <v>62</v>
      </c>
      <c r="J1119" t="s">
        <v>609</v>
      </c>
      <c r="K1119" t="s">
        <v>55</v>
      </c>
      <c r="L1119" t="s">
        <v>55</v>
      </c>
      <c r="M1119" t="s">
        <v>2065</v>
      </c>
    </row>
    <row r="1120" spans="1:13" ht="15" customHeight="1" x14ac:dyDescent="0.25">
      <c r="A1120" t="s">
        <v>2040</v>
      </c>
      <c r="B1120" t="s">
        <v>547</v>
      </c>
      <c r="C1120">
        <v>544529</v>
      </c>
      <c r="D1120" t="s">
        <v>2294</v>
      </c>
      <c r="E1120" t="s">
        <v>2295</v>
      </c>
      <c r="F1120" t="s">
        <v>2296</v>
      </c>
      <c r="G1120" t="s">
        <v>2297</v>
      </c>
      <c r="H1120" t="s">
        <v>62</v>
      </c>
      <c r="I1120" t="s">
        <v>62</v>
      </c>
      <c r="J1120" t="s">
        <v>777</v>
      </c>
      <c r="K1120" t="s">
        <v>55</v>
      </c>
      <c r="L1120" t="s">
        <v>55</v>
      </c>
      <c r="M1120" t="s">
        <v>2075</v>
      </c>
    </row>
    <row r="1121" spans="1:13" ht="15" customHeight="1" x14ac:dyDescent="0.25">
      <c r="A1121" t="s">
        <v>2040</v>
      </c>
      <c r="B1121" t="s">
        <v>547</v>
      </c>
      <c r="C1121">
        <v>544350</v>
      </c>
      <c r="D1121" t="s">
        <v>2298</v>
      </c>
      <c r="E1121" t="s">
        <v>1244</v>
      </c>
      <c r="F1121" t="s">
        <v>70</v>
      </c>
      <c r="G1121" t="s">
        <v>2299</v>
      </c>
      <c r="H1121" t="s">
        <v>64</v>
      </c>
      <c r="I1121" t="s">
        <v>64</v>
      </c>
      <c r="J1121" t="s">
        <v>620</v>
      </c>
      <c r="K1121" t="s">
        <v>55</v>
      </c>
      <c r="L1121" t="s">
        <v>55</v>
      </c>
      <c r="M1121" t="s">
        <v>2055</v>
      </c>
    </row>
    <row r="1122" spans="1:13" ht="15" customHeight="1" x14ac:dyDescent="0.25">
      <c r="A1122" t="s">
        <v>2040</v>
      </c>
      <c r="B1122" t="s">
        <v>547</v>
      </c>
      <c r="C1122">
        <v>544638</v>
      </c>
      <c r="D1122" t="s">
        <v>2300</v>
      </c>
      <c r="E1122" t="s">
        <v>2301</v>
      </c>
      <c r="F1122" t="s">
        <v>2302</v>
      </c>
      <c r="G1122" t="s">
        <v>2303</v>
      </c>
      <c r="H1122" t="s">
        <v>64</v>
      </c>
      <c r="I1122" t="s">
        <v>64</v>
      </c>
      <c r="J1122" t="s">
        <v>2024</v>
      </c>
      <c r="K1122" t="s">
        <v>55</v>
      </c>
      <c r="L1122" t="s">
        <v>55</v>
      </c>
      <c r="M1122" t="s">
        <v>2084</v>
      </c>
    </row>
    <row r="1123" spans="1:13" ht="15" customHeight="1" x14ac:dyDescent="0.25">
      <c r="A1123" t="s">
        <v>2040</v>
      </c>
      <c r="B1123" t="s">
        <v>547</v>
      </c>
      <c r="C1123">
        <v>544416</v>
      </c>
      <c r="D1123" t="s">
        <v>2304</v>
      </c>
      <c r="E1123" t="s">
        <v>1855</v>
      </c>
      <c r="F1123" t="s">
        <v>2305</v>
      </c>
      <c r="G1123" t="s">
        <v>2306</v>
      </c>
      <c r="H1123" t="s">
        <v>64</v>
      </c>
      <c r="I1123" t="s">
        <v>64</v>
      </c>
      <c r="J1123" t="s">
        <v>1898</v>
      </c>
      <c r="K1123" t="s">
        <v>55</v>
      </c>
      <c r="L1123" t="s">
        <v>55</v>
      </c>
      <c r="M1123" t="s">
        <v>2111</v>
      </c>
    </row>
    <row r="1124" spans="1:13" ht="15" customHeight="1" x14ac:dyDescent="0.25">
      <c r="A1124" t="s">
        <v>2040</v>
      </c>
      <c r="B1124" t="s">
        <v>547</v>
      </c>
      <c r="C1124">
        <v>544375</v>
      </c>
      <c r="D1124" t="s">
        <v>2307</v>
      </c>
      <c r="E1124" t="s">
        <v>2308</v>
      </c>
      <c r="F1124" t="s">
        <v>2309</v>
      </c>
      <c r="G1124" t="s">
        <v>2310</v>
      </c>
      <c r="H1124" t="s">
        <v>64</v>
      </c>
      <c r="I1124" t="s">
        <v>64</v>
      </c>
      <c r="J1124" t="s">
        <v>620</v>
      </c>
      <c r="K1124" t="s">
        <v>55</v>
      </c>
      <c r="L1124" t="s">
        <v>55</v>
      </c>
      <c r="M1124" t="s">
        <v>2084</v>
      </c>
    </row>
    <row r="1125" spans="1:13" ht="15" customHeight="1" x14ac:dyDescent="0.25">
      <c r="A1125" t="s">
        <v>2040</v>
      </c>
      <c r="B1125" t="s">
        <v>547</v>
      </c>
      <c r="C1125">
        <v>544357</v>
      </c>
      <c r="D1125" t="s">
        <v>2307</v>
      </c>
      <c r="E1125" t="s">
        <v>2311</v>
      </c>
      <c r="F1125" t="s">
        <v>2312</v>
      </c>
      <c r="G1125" t="s">
        <v>2313</v>
      </c>
      <c r="H1125" t="s">
        <v>64</v>
      </c>
      <c r="I1125" t="s">
        <v>64</v>
      </c>
      <c r="J1125" t="s">
        <v>631</v>
      </c>
      <c r="K1125" t="s">
        <v>55</v>
      </c>
      <c r="L1125" t="s">
        <v>55</v>
      </c>
      <c r="M1125" t="s">
        <v>2084</v>
      </c>
    </row>
    <row r="1126" spans="1:13" ht="15" customHeight="1" x14ac:dyDescent="0.25">
      <c r="A1126" t="s">
        <v>2040</v>
      </c>
      <c r="B1126" t="s">
        <v>547</v>
      </c>
      <c r="C1126">
        <v>544512</v>
      </c>
      <c r="D1126" t="s">
        <v>2314</v>
      </c>
      <c r="E1126" t="s">
        <v>2315</v>
      </c>
      <c r="F1126" t="s">
        <v>2316</v>
      </c>
      <c r="G1126" t="s">
        <v>2317</v>
      </c>
      <c r="H1126" t="s">
        <v>61</v>
      </c>
      <c r="I1126" t="s">
        <v>61</v>
      </c>
      <c r="J1126" t="s">
        <v>2101</v>
      </c>
      <c r="K1126" t="s">
        <v>55</v>
      </c>
      <c r="L1126" t="s">
        <v>55</v>
      </c>
      <c r="M1126" t="s">
        <v>2055</v>
      </c>
    </row>
    <row r="1127" spans="1:13" ht="15" customHeight="1" x14ac:dyDescent="0.25">
      <c r="A1127" t="s">
        <v>2040</v>
      </c>
      <c r="B1127" t="s">
        <v>547</v>
      </c>
      <c r="C1127">
        <v>544249</v>
      </c>
      <c r="D1127" t="s">
        <v>2318</v>
      </c>
      <c r="E1127" t="s">
        <v>2319</v>
      </c>
      <c r="F1127" t="s">
        <v>2320</v>
      </c>
      <c r="G1127" t="s">
        <v>2321</v>
      </c>
      <c r="H1127" t="s">
        <v>62</v>
      </c>
      <c r="I1127" t="s">
        <v>62</v>
      </c>
      <c r="J1127" t="s">
        <v>615</v>
      </c>
      <c r="K1127" t="s">
        <v>55</v>
      </c>
      <c r="L1127" t="s">
        <v>55</v>
      </c>
      <c r="M1127" t="s">
        <v>2065</v>
      </c>
    </row>
    <row r="1128" spans="1:13" ht="15" customHeight="1" x14ac:dyDescent="0.25">
      <c r="A1128" t="s">
        <v>2040</v>
      </c>
      <c r="B1128" t="s">
        <v>547</v>
      </c>
      <c r="C1128">
        <v>544514</v>
      </c>
      <c r="D1128" t="s">
        <v>2322</v>
      </c>
      <c r="E1128" t="s">
        <v>2323</v>
      </c>
      <c r="F1128" t="s">
        <v>2324</v>
      </c>
      <c r="G1128" t="s">
        <v>2325</v>
      </c>
      <c r="H1128" t="s">
        <v>66</v>
      </c>
      <c r="I1128" t="s">
        <v>66</v>
      </c>
      <c r="J1128" t="s">
        <v>631</v>
      </c>
      <c r="K1128" t="s">
        <v>55</v>
      </c>
      <c r="L1128" t="s">
        <v>55</v>
      </c>
      <c r="M1128" t="s">
        <v>2056</v>
      </c>
    </row>
    <row r="1129" spans="1:13" ht="15" customHeight="1" x14ac:dyDescent="0.25">
      <c r="A1129" t="s">
        <v>2040</v>
      </c>
      <c r="B1129" t="s">
        <v>547</v>
      </c>
      <c r="C1129">
        <v>544438</v>
      </c>
      <c r="D1129" t="s">
        <v>2326</v>
      </c>
      <c r="E1129" t="s">
        <v>2327</v>
      </c>
      <c r="F1129" t="s">
        <v>2328</v>
      </c>
      <c r="G1129" t="s">
        <v>2329</v>
      </c>
      <c r="H1129" t="s">
        <v>66</v>
      </c>
      <c r="I1129" t="s">
        <v>66</v>
      </c>
      <c r="J1129" t="s">
        <v>603</v>
      </c>
      <c r="K1129" t="s">
        <v>55</v>
      </c>
      <c r="L1129" t="s">
        <v>55</v>
      </c>
      <c r="M1129" t="s">
        <v>2119</v>
      </c>
    </row>
    <row r="1130" spans="1:13" ht="15" customHeight="1" x14ac:dyDescent="0.25">
      <c r="A1130" t="s">
        <v>2040</v>
      </c>
      <c r="B1130" t="s">
        <v>547</v>
      </c>
      <c r="C1130">
        <v>544430</v>
      </c>
      <c r="D1130" t="s">
        <v>2330</v>
      </c>
      <c r="E1130" t="s">
        <v>2331</v>
      </c>
      <c r="F1130" t="s">
        <v>2332</v>
      </c>
      <c r="G1130" t="s">
        <v>2333</v>
      </c>
      <c r="H1130" t="s">
        <v>62</v>
      </c>
      <c r="I1130" t="s">
        <v>62</v>
      </c>
      <c r="J1130" t="s">
        <v>715</v>
      </c>
      <c r="K1130" t="s">
        <v>55</v>
      </c>
      <c r="L1130" t="s">
        <v>55</v>
      </c>
      <c r="M1130" t="s">
        <v>2050</v>
      </c>
    </row>
    <row r="1131" spans="1:13" ht="15" customHeight="1" x14ac:dyDescent="0.25">
      <c r="A1131" t="s">
        <v>2040</v>
      </c>
      <c r="B1131" t="s">
        <v>547</v>
      </c>
      <c r="C1131">
        <v>544414</v>
      </c>
      <c r="D1131" t="s">
        <v>2334</v>
      </c>
      <c r="E1131" t="s">
        <v>2335</v>
      </c>
      <c r="F1131" t="s">
        <v>2336</v>
      </c>
      <c r="G1131" t="s">
        <v>2337</v>
      </c>
      <c r="H1131" t="s">
        <v>66</v>
      </c>
      <c r="I1131" t="s">
        <v>66</v>
      </c>
      <c r="J1131" t="s">
        <v>615</v>
      </c>
      <c r="K1131" t="s">
        <v>55</v>
      </c>
      <c r="L1131" t="s">
        <v>55</v>
      </c>
      <c r="M1131" t="s">
        <v>2146</v>
      </c>
    </row>
    <row r="1132" spans="1:13" ht="15" customHeight="1" x14ac:dyDescent="0.25">
      <c r="A1132" t="s">
        <v>2040</v>
      </c>
      <c r="B1132" t="s">
        <v>547</v>
      </c>
      <c r="C1132">
        <v>544229</v>
      </c>
      <c r="D1132" t="s">
        <v>2338</v>
      </c>
      <c r="E1132" t="s">
        <v>2339</v>
      </c>
      <c r="F1132" t="s">
        <v>2340</v>
      </c>
      <c r="G1132" t="s">
        <v>2341</v>
      </c>
      <c r="H1132" t="s">
        <v>65</v>
      </c>
      <c r="I1132" t="s">
        <v>65</v>
      </c>
      <c r="J1132" t="s">
        <v>1898</v>
      </c>
      <c r="K1132" t="s">
        <v>55</v>
      </c>
      <c r="L1132" t="s">
        <v>55</v>
      </c>
      <c r="M1132" t="s">
        <v>2146</v>
      </c>
    </row>
    <row r="1133" spans="1:13" ht="15" customHeight="1" x14ac:dyDescent="0.25">
      <c r="A1133" t="s">
        <v>2040</v>
      </c>
      <c r="B1133" t="s">
        <v>547</v>
      </c>
      <c r="C1133">
        <v>544435</v>
      </c>
      <c r="D1133" t="s">
        <v>2342</v>
      </c>
      <c r="E1133" t="s">
        <v>2343</v>
      </c>
      <c r="F1133" t="s">
        <v>2344</v>
      </c>
      <c r="G1133" t="s">
        <v>2345</v>
      </c>
      <c r="H1133" t="s">
        <v>66</v>
      </c>
      <c r="I1133" t="s">
        <v>66</v>
      </c>
      <c r="J1133" t="s">
        <v>2346</v>
      </c>
      <c r="K1133" t="s">
        <v>55</v>
      </c>
      <c r="L1133" t="s">
        <v>55</v>
      </c>
      <c r="M1133" t="s">
        <v>2056</v>
      </c>
    </row>
    <row r="1134" spans="1:13" ht="15" customHeight="1" x14ac:dyDescent="0.25">
      <c r="A1134" t="s">
        <v>2040</v>
      </c>
      <c r="B1134" t="s">
        <v>547</v>
      </c>
      <c r="C1134">
        <v>544408</v>
      </c>
      <c r="D1134" t="s">
        <v>2347</v>
      </c>
      <c r="E1134" t="s">
        <v>2348</v>
      </c>
      <c r="F1134" t="s">
        <v>2349</v>
      </c>
      <c r="G1134" t="s">
        <v>2350</v>
      </c>
      <c r="H1134" t="s">
        <v>62</v>
      </c>
      <c r="I1134" t="s">
        <v>62</v>
      </c>
      <c r="J1134" t="s">
        <v>615</v>
      </c>
      <c r="K1134" t="s">
        <v>55</v>
      </c>
      <c r="L1134" t="s">
        <v>55</v>
      </c>
      <c r="M1134" t="s">
        <v>2056</v>
      </c>
    </row>
    <row r="1135" spans="1:13" ht="15" customHeight="1" x14ac:dyDescent="0.25">
      <c r="A1135" t="s">
        <v>2040</v>
      </c>
      <c r="B1135" t="s">
        <v>547</v>
      </c>
      <c r="C1135">
        <v>544236</v>
      </c>
      <c r="D1135" t="s">
        <v>2351</v>
      </c>
      <c r="E1135" t="s">
        <v>2352</v>
      </c>
      <c r="F1135" t="s">
        <v>2353</v>
      </c>
      <c r="G1135" t="s">
        <v>2354</v>
      </c>
      <c r="H1135" t="s">
        <v>60</v>
      </c>
      <c r="I1135" t="s">
        <v>60</v>
      </c>
      <c r="J1135" t="s">
        <v>660</v>
      </c>
      <c r="K1135" t="s">
        <v>55</v>
      </c>
      <c r="L1135" t="s">
        <v>55</v>
      </c>
      <c r="M1135" t="s">
        <v>2111</v>
      </c>
    </row>
    <row r="1136" spans="1:13" ht="15" customHeight="1" x14ac:dyDescent="0.25">
      <c r="A1136" t="s">
        <v>2040</v>
      </c>
      <c r="B1136" t="s">
        <v>547</v>
      </c>
      <c r="C1136">
        <v>544235</v>
      </c>
      <c r="D1136" t="s">
        <v>2355</v>
      </c>
      <c r="E1136" t="s">
        <v>2356</v>
      </c>
      <c r="F1136" t="s">
        <v>2357</v>
      </c>
      <c r="G1136" t="s">
        <v>2358</v>
      </c>
      <c r="H1136" t="s">
        <v>64</v>
      </c>
      <c r="I1136" t="s">
        <v>64</v>
      </c>
      <c r="J1136" t="s">
        <v>615</v>
      </c>
      <c r="K1136" t="s">
        <v>55</v>
      </c>
      <c r="L1136" t="s">
        <v>55</v>
      </c>
      <c r="M1136" t="s">
        <v>2065</v>
      </c>
    </row>
    <row r="1137" spans="1:13" ht="15" customHeight="1" x14ac:dyDescent="0.25">
      <c r="A1137" t="s">
        <v>2040</v>
      </c>
      <c r="B1137" t="s">
        <v>547</v>
      </c>
      <c r="C1137">
        <v>544372</v>
      </c>
      <c r="D1137" t="s">
        <v>2359</v>
      </c>
      <c r="E1137" t="s">
        <v>2360</v>
      </c>
      <c r="F1137" t="s">
        <v>2361</v>
      </c>
      <c r="G1137" t="s">
        <v>2362</v>
      </c>
      <c r="H1137" t="s">
        <v>64</v>
      </c>
      <c r="I1137" t="s">
        <v>723</v>
      </c>
      <c r="J1137" t="s">
        <v>620</v>
      </c>
      <c r="K1137" t="s">
        <v>55</v>
      </c>
      <c r="L1137" t="s">
        <v>55</v>
      </c>
      <c r="M1137" t="s">
        <v>2065</v>
      </c>
    </row>
    <row r="1138" spans="1:13" ht="15" customHeight="1" x14ac:dyDescent="0.25">
      <c r="A1138" t="s">
        <v>2040</v>
      </c>
      <c r="B1138" t="s">
        <v>547</v>
      </c>
      <c r="C1138">
        <v>544428</v>
      </c>
      <c r="D1138" t="s">
        <v>2363</v>
      </c>
      <c r="E1138" t="s">
        <v>691</v>
      </c>
      <c r="F1138" t="s">
        <v>2364</v>
      </c>
      <c r="G1138" t="s">
        <v>2365</v>
      </c>
      <c r="H1138" t="s">
        <v>64</v>
      </c>
      <c r="I1138" t="s">
        <v>64</v>
      </c>
      <c r="J1138" t="s">
        <v>660</v>
      </c>
      <c r="K1138" t="s">
        <v>55</v>
      </c>
      <c r="L1138" t="s">
        <v>55</v>
      </c>
      <c r="M1138" t="s">
        <v>2055</v>
      </c>
    </row>
    <row r="1139" spans="1:13" ht="15" customHeight="1" x14ac:dyDescent="0.25">
      <c r="A1139" t="s">
        <v>2040</v>
      </c>
      <c r="B1139" t="s">
        <v>547</v>
      </c>
      <c r="C1139">
        <v>544206</v>
      </c>
      <c r="D1139" t="s">
        <v>2366</v>
      </c>
      <c r="E1139" t="s">
        <v>2367</v>
      </c>
      <c r="F1139" t="s">
        <v>2368</v>
      </c>
      <c r="G1139" t="s">
        <v>2369</v>
      </c>
      <c r="H1139" t="s">
        <v>64</v>
      </c>
      <c r="I1139" t="s">
        <v>64</v>
      </c>
      <c r="J1139" t="s">
        <v>615</v>
      </c>
      <c r="K1139" t="s">
        <v>55</v>
      </c>
      <c r="L1139" t="s">
        <v>55</v>
      </c>
      <c r="M1139" t="s">
        <v>2050</v>
      </c>
    </row>
    <row r="1140" spans="1:13" ht="15" customHeight="1" x14ac:dyDescent="0.25">
      <c r="A1140" t="s">
        <v>2040</v>
      </c>
      <c r="B1140" t="s">
        <v>547</v>
      </c>
      <c r="C1140">
        <v>544220</v>
      </c>
      <c r="D1140" t="s">
        <v>722</v>
      </c>
      <c r="E1140" t="s">
        <v>2370</v>
      </c>
      <c r="F1140" t="s">
        <v>2371</v>
      </c>
      <c r="G1140" t="s">
        <v>2372</v>
      </c>
      <c r="H1140" t="s">
        <v>64</v>
      </c>
      <c r="I1140" t="s">
        <v>61</v>
      </c>
      <c r="J1140" t="s">
        <v>689</v>
      </c>
      <c r="K1140" t="s">
        <v>55</v>
      </c>
      <c r="L1140" t="s">
        <v>55</v>
      </c>
      <c r="M1140" t="s">
        <v>2055</v>
      </c>
    </row>
    <row r="1141" spans="1:13" ht="15" customHeight="1" x14ac:dyDescent="0.25">
      <c r="A1141" t="s">
        <v>2040</v>
      </c>
      <c r="B1141" t="s">
        <v>547</v>
      </c>
      <c r="C1141">
        <v>544468</v>
      </c>
      <c r="D1141" t="s">
        <v>2373</v>
      </c>
      <c r="E1141" t="s">
        <v>2374</v>
      </c>
      <c r="F1141" t="s">
        <v>2375</v>
      </c>
      <c r="G1141" t="s">
        <v>2376</v>
      </c>
      <c r="H1141" t="s">
        <v>65</v>
      </c>
      <c r="I1141" t="s">
        <v>65</v>
      </c>
      <c r="J1141" t="s">
        <v>703</v>
      </c>
      <c r="K1141" t="s">
        <v>55</v>
      </c>
      <c r="L1141" t="s">
        <v>55</v>
      </c>
      <c r="M1141" t="s">
        <v>2055</v>
      </c>
    </row>
    <row r="1142" spans="1:13" ht="15" customHeight="1" x14ac:dyDescent="0.25">
      <c r="A1142" t="s">
        <v>2040</v>
      </c>
      <c r="B1142" t="s">
        <v>547</v>
      </c>
      <c r="C1142">
        <v>544609</v>
      </c>
      <c r="D1142" t="s">
        <v>2377</v>
      </c>
      <c r="E1142" t="s">
        <v>2378</v>
      </c>
      <c r="F1142" t="s">
        <v>2379</v>
      </c>
      <c r="G1142" t="s">
        <v>2380</v>
      </c>
      <c r="H1142" t="s">
        <v>2242</v>
      </c>
      <c r="I1142" t="s">
        <v>2242</v>
      </c>
      <c r="J1142" t="s">
        <v>777</v>
      </c>
      <c r="K1142" t="s">
        <v>55</v>
      </c>
      <c r="L1142" t="s">
        <v>55</v>
      </c>
      <c r="M1142" t="s">
        <v>2050</v>
      </c>
    </row>
    <row r="1143" spans="1:13" ht="15" customHeight="1" x14ac:dyDescent="0.25">
      <c r="A1143" t="s">
        <v>2040</v>
      </c>
      <c r="B1143" t="s">
        <v>547</v>
      </c>
      <c r="C1143">
        <v>544383</v>
      </c>
      <c r="D1143" t="s">
        <v>2381</v>
      </c>
      <c r="E1143" t="s">
        <v>2382</v>
      </c>
      <c r="F1143" t="s">
        <v>2383</v>
      </c>
      <c r="G1143" t="s">
        <v>2384</v>
      </c>
      <c r="H1143" t="s">
        <v>60</v>
      </c>
      <c r="I1143" t="s">
        <v>60</v>
      </c>
      <c r="J1143" t="s">
        <v>1035</v>
      </c>
      <c r="K1143" t="s">
        <v>55</v>
      </c>
      <c r="L1143" t="s">
        <v>55</v>
      </c>
      <c r="M1143" t="s">
        <v>2045</v>
      </c>
    </row>
    <row r="1144" spans="1:13" ht="15" customHeight="1" x14ac:dyDescent="0.25">
      <c r="A1144" t="s">
        <v>2040</v>
      </c>
      <c r="B1144" t="s">
        <v>547</v>
      </c>
      <c r="C1144">
        <v>544476</v>
      </c>
      <c r="D1144" t="s">
        <v>2385</v>
      </c>
      <c r="E1144" t="s">
        <v>2386</v>
      </c>
      <c r="F1144" t="s">
        <v>2387</v>
      </c>
      <c r="G1144" t="s">
        <v>2388</v>
      </c>
      <c r="H1144" t="s">
        <v>62</v>
      </c>
      <c r="I1144" t="s">
        <v>62</v>
      </c>
      <c r="J1144" t="s">
        <v>715</v>
      </c>
      <c r="K1144" t="s">
        <v>55</v>
      </c>
      <c r="L1144" t="s">
        <v>55</v>
      </c>
      <c r="M1144" t="s">
        <v>2106</v>
      </c>
    </row>
    <row r="1145" spans="1:13" ht="15" customHeight="1" x14ac:dyDescent="0.25">
      <c r="A1145" t="s">
        <v>2040</v>
      </c>
      <c r="B1145" t="s">
        <v>547</v>
      </c>
      <c r="C1145">
        <v>544475</v>
      </c>
      <c r="D1145" t="s">
        <v>2385</v>
      </c>
      <c r="E1145" t="s">
        <v>2389</v>
      </c>
      <c r="F1145" t="s">
        <v>2390</v>
      </c>
      <c r="G1145" t="s">
        <v>2391</v>
      </c>
      <c r="H1145" t="s">
        <v>62</v>
      </c>
      <c r="I1145" t="s">
        <v>62</v>
      </c>
      <c r="J1145" t="s">
        <v>620</v>
      </c>
      <c r="K1145" t="s">
        <v>55</v>
      </c>
      <c r="L1145" t="s">
        <v>55</v>
      </c>
      <c r="M1145" t="s">
        <v>2050</v>
      </c>
    </row>
    <row r="1146" spans="1:13" ht="15" customHeight="1" x14ac:dyDescent="0.25">
      <c r="A1146" t="s">
        <v>2040</v>
      </c>
      <c r="B1146" t="s">
        <v>547</v>
      </c>
      <c r="C1146">
        <v>544288</v>
      </c>
      <c r="D1146" t="s">
        <v>2392</v>
      </c>
      <c r="E1146" t="s">
        <v>2393</v>
      </c>
      <c r="F1146" t="s">
        <v>2394</v>
      </c>
      <c r="G1146" t="s">
        <v>2395</v>
      </c>
      <c r="H1146" t="s">
        <v>62</v>
      </c>
      <c r="I1146" t="s">
        <v>62</v>
      </c>
      <c r="J1146" t="s">
        <v>615</v>
      </c>
      <c r="K1146" t="s">
        <v>55</v>
      </c>
      <c r="L1146" t="s">
        <v>55</v>
      </c>
      <c r="M1146" t="s">
        <v>2055</v>
      </c>
    </row>
    <row r="1147" spans="1:13" ht="15" customHeight="1" x14ac:dyDescent="0.25">
      <c r="A1147" t="s">
        <v>2040</v>
      </c>
      <c r="B1147" t="s">
        <v>547</v>
      </c>
      <c r="C1147">
        <v>544410</v>
      </c>
      <c r="D1147" t="s">
        <v>2396</v>
      </c>
      <c r="E1147" t="s">
        <v>2397</v>
      </c>
      <c r="F1147" t="s">
        <v>2398</v>
      </c>
      <c r="G1147" t="s">
        <v>2399</v>
      </c>
      <c r="H1147" t="s">
        <v>61</v>
      </c>
      <c r="I1147" t="s">
        <v>61</v>
      </c>
      <c r="J1147" t="s">
        <v>2176</v>
      </c>
      <c r="K1147" t="s">
        <v>55</v>
      </c>
      <c r="L1147" t="s">
        <v>55</v>
      </c>
      <c r="M1147" t="s">
        <v>2065</v>
      </c>
    </row>
    <row r="1148" spans="1:13" ht="15" customHeight="1" x14ac:dyDescent="0.25">
      <c r="A1148" t="s">
        <v>2040</v>
      </c>
      <c r="B1148" t="s">
        <v>547</v>
      </c>
      <c r="C1148">
        <v>544221</v>
      </c>
      <c r="D1148" t="s">
        <v>731</v>
      </c>
      <c r="E1148" t="s">
        <v>732</v>
      </c>
      <c r="F1148" t="s">
        <v>733</v>
      </c>
      <c r="G1148" t="s">
        <v>734</v>
      </c>
      <c r="H1148" t="s">
        <v>64</v>
      </c>
      <c r="I1148" t="s">
        <v>64</v>
      </c>
      <c r="J1148" t="s">
        <v>603</v>
      </c>
      <c r="K1148" t="s">
        <v>55</v>
      </c>
      <c r="L1148" t="s">
        <v>55</v>
      </c>
      <c r="M1148" t="s">
        <v>2146</v>
      </c>
    </row>
    <row r="1149" spans="1:13" ht="15" customHeight="1" x14ac:dyDescent="0.25">
      <c r="A1149" t="s">
        <v>2040</v>
      </c>
      <c r="B1149" t="s">
        <v>547</v>
      </c>
      <c r="C1149">
        <v>544412</v>
      </c>
      <c r="D1149" t="s">
        <v>2400</v>
      </c>
      <c r="E1149" t="s">
        <v>2401</v>
      </c>
      <c r="F1149" t="s">
        <v>2402</v>
      </c>
      <c r="G1149" t="s">
        <v>2403</v>
      </c>
      <c r="H1149" t="s">
        <v>66</v>
      </c>
      <c r="I1149" t="s">
        <v>66</v>
      </c>
      <c r="J1149" t="s">
        <v>631</v>
      </c>
      <c r="K1149" t="s">
        <v>55</v>
      </c>
      <c r="L1149" t="s">
        <v>55</v>
      </c>
      <c r="M1149" t="s">
        <v>2050</v>
      </c>
    </row>
    <row r="1150" spans="1:13" ht="15" customHeight="1" x14ac:dyDescent="0.25">
      <c r="A1150" t="s">
        <v>2040</v>
      </c>
      <c r="B1150" t="s">
        <v>547</v>
      </c>
      <c r="C1150">
        <v>544437</v>
      </c>
      <c r="D1150" t="s">
        <v>2404</v>
      </c>
      <c r="E1150" t="s">
        <v>2405</v>
      </c>
      <c r="F1150" t="s">
        <v>2406</v>
      </c>
      <c r="G1150" t="s">
        <v>2407</v>
      </c>
      <c r="H1150" t="s">
        <v>65</v>
      </c>
      <c r="I1150" t="s">
        <v>65</v>
      </c>
      <c r="J1150" t="s">
        <v>2408</v>
      </c>
      <c r="K1150" t="s">
        <v>55</v>
      </c>
      <c r="L1150" t="s">
        <v>55</v>
      </c>
      <c r="M1150" t="s">
        <v>2056</v>
      </c>
    </row>
    <row r="1151" spans="1:13" ht="15" customHeight="1" x14ac:dyDescent="0.25">
      <c r="A1151" t="s">
        <v>2040</v>
      </c>
      <c r="B1151" t="s">
        <v>547</v>
      </c>
      <c r="C1151">
        <v>544351</v>
      </c>
      <c r="D1151" t="s">
        <v>2409</v>
      </c>
      <c r="E1151" t="s">
        <v>2410</v>
      </c>
      <c r="F1151" t="s">
        <v>2411</v>
      </c>
      <c r="G1151" t="s">
        <v>2412</v>
      </c>
      <c r="H1151" t="s">
        <v>62</v>
      </c>
      <c r="I1151" t="s">
        <v>62</v>
      </c>
      <c r="J1151" t="s">
        <v>615</v>
      </c>
      <c r="K1151" t="s">
        <v>55</v>
      </c>
      <c r="L1151" t="s">
        <v>55</v>
      </c>
      <c r="M1151" t="s">
        <v>2056</v>
      </c>
    </row>
    <row r="1152" spans="1:13" ht="15" customHeight="1" x14ac:dyDescent="0.25">
      <c r="A1152" t="s">
        <v>2040</v>
      </c>
      <c r="B1152" t="s">
        <v>547</v>
      </c>
      <c r="C1152">
        <v>544352</v>
      </c>
      <c r="D1152" t="s">
        <v>2409</v>
      </c>
      <c r="E1152" t="s">
        <v>2413</v>
      </c>
      <c r="F1152" t="s">
        <v>2414</v>
      </c>
      <c r="G1152" t="s">
        <v>2415</v>
      </c>
      <c r="H1152" t="s">
        <v>62</v>
      </c>
      <c r="I1152" t="s">
        <v>62</v>
      </c>
      <c r="J1152" t="s">
        <v>620</v>
      </c>
      <c r="K1152" t="s">
        <v>55</v>
      </c>
      <c r="L1152" t="s">
        <v>55</v>
      </c>
      <c r="M1152" t="s">
        <v>2056</v>
      </c>
    </row>
    <row r="1153" spans="1:13" ht="15" customHeight="1" x14ac:dyDescent="0.25">
      <c r="A1153" t="s">
        <v>2040</v>
      </c>
      <c r="B1153" t="s">
        <v>547</v>
      </c>
      <c r="C1153">
        <v>544449</v>
      </c>
      <c r="D1153" t="s">
        <v>2416</v>
      </c>
      <c r="E1153" t="s">
        <v>2417</v>
      </c>
      <c r="F1153" t="s">
        <v>2418</v>
      </c>
      <c r="G1153" t="s">
        <v>2419</v>
      </c>
      <c r="H1153" t="s">
        <v>2158</v>
      </c>
      <c r="I1153" t="s">
        <v>2158</v>
      </c>
      <c r="J1153" t="s">
        <v>596</v>
      </c>
      <c r="K1153" t="s">
        <v>55</v>
      </c>
      <c r="L1153" t="s">
        <v>55</v>
      </c>
      <c r="M1153" t="s">
        <v>2055</v>
      </c>
    </row>
    <row r="1154" spans="1:13" ht="15" customHeight="1" x14ac:dyDescent="0.25">
      <c r="A1154" t="s">
        <v>2040</v>
      </c>
      <c r="B1154" t="s">
        <v>547</v>
      </c>
      <c r="C1154">
        <v>544377</v>
      </c>
      <c r="D1154" t="s">
        <v>2416</v>
      </c>
      <c r="E1154" t="s">
        <v>2420</v>
      </c>
      <c r="F1154" t="s">
        <v>2421</v>
      </c>
      <c r="G1154" t="s">
        <v>2422</v>
      </c>
      <c r="H1154" t="s">
        <v>2158</v>
      </c>
      <c r="I1154" t="s">
        <v>2158</v>
      </c>
      <c r="J1154" t="s">
        <v>823</v>
      </c>
      <c r="K1154" t="s">
        <v>55</v>
      </c>
      <c r="L1154" t="s">
        <v>55</v>
      </c>
      <c r="M1154" t="s">
        <v>2055</v>
      </c>
    </row>
    <row r="1155" spans="1:13" ht="15" customHeight="1" x14ac:dyDescent="0.25">
      <c r="A1155" t="s">
        <v>2040</v>
      </c>
      <c r="B1155" t="s">
        <v>547</v>
      </c>
      <c r="C1155">
        <v>544386</v>
      </c>
      <c r="D1155" t="s">
        <v>2423</v>
      </c>
      <c r="E1155" t="s">
        <v>1949</v>
      </c>
      <c r="F1155" t="s">
        <v>2424</v>
      </c>
      <c r="G1155" t="s">
        <v>2425</v>
      </c>
      <c r="H1155" t="s">
        <v>2242</v>
      </c>
      <c r="I1155" t="s">
        <v>62</v>
      </c>
      <c r="J1155" t="s">
        <v>1141</v>
      </c>
      <c r="K1155" t="s">
        <v>55</v>
      </c>
      <c r="L1155" t="s">
        <v>55</v>
      </c>
      <c r="M1155" t="s">
        <v>2111</v>
      </c>
    </row>
    <row r="1156" spans="1:13" ht="15" customHeight="1" x14ac:dyDescent="0.25">
      <c r="A1156" t="s">
        <v>2040</v>
      </c>
      <c r="B1156" t="s">
        <v>547</v>
      </c>
      <c r="C1156">
        <v>544255</v>
      </c>
      <c r="D1156" t="s">
        <v>2426</v>
      </c>
      <c r="E1156" t="s">
        <v>1205</v>
      </c>
      <c r="F1156" t="s">
        <v>2427</v>
      </c>
      <c r="G1156" t="s">
        <v>2428</v>
      </c>
      <c r="H1156" t="s">
        <v>65</v>
      </c>
      <c r="I1156" t="s">
        <v>65</v>
      </c>
      <c r="J1156" t="s">
        <v>2243</v>
      </c>
      <c r="K1156" t="s">
        <v>55</v>
      </c>
      <c r="L1156" t="s">
        <v>55</v>
      </c>
      <c r="M1156" t="s">
        <v>2106</v>
      </c>
    </row>
    <row r="1157" spans="1:13" ht="15" customHeight="1" x14ac:dyDescent="0.25">
      <c r="A1157" t="s">
        <v>2040</v>
      </c>
      <c r="B1157" t="s">
        <v>547</v>
      </c>
      <c r="C1157">
        <v>544440</v>
      </c>
      <c r="D1157" t="s">
        <v>2429</v>
      </c>
      <c r="E1157" t="s">
        <v>2430</v>
      </c>
      <c r="F1157" t="s">
        <v>2431</v>
      </c>
      <c r="G1157" t="s">
        <v>2432</v>
      </c>
      <c r="H1157" t="s">
        <v>60</v>
      </c>
      <c r="I1157" t="s">
        <v>60</v>
      </c>
      <c r="J1157" t="s">
        <v>615</v>
      </c>
      <c r="K1157" t="s">
        <v>55</v>
      </c>
      <c r="L1157" t="s">
        <v>55</v>
      </c>
      <c r="M1157" t="s">
        <v>2106</v>
      </c>
    </row>
    <row r="1158" spans="1:13" ht="15" customHeight="1" x14ac:dyDescent="0.25">
      <c r="A1158" t="s">
        <v>2040</v>
      </c>
      <c r="B1158" t="s">
        <v>547</v>
      </c>
      <c r="C1158">
        <v>544413</v>
      </c>
      <c r="D1158" t="s">
        <v>2433</v>
      </c>
      <c r="E1158" t="s">
        <v>2434</v>
      </c>
      <c r="F1158" t="s">
        <v>2435</v>
      </c>
      <c r="G1158" t="s">
        <v>2436</v>
      </c>
      <c r="H1158" t="s">
        <v>66</v>
      </c>
      <c r="I1158" t="s">
        <v>62</v>
      </c>
      <c r="J1158" t="s">
        <v>603</v>
      </c>
      <c r="K1158" t="s">
        <v>55</v>
      </c>
      <c r="L1158" t="s">
        <v>55</v>
      </c>
      <c r="M1158" t="s">
        <v>2055</v>
      </c>
    </row>
    <row r="1159" spans="1:13" ht="15" customHeight="1" x14ac:dyDescent="0.25">
      <c r="A1159" t="s">
        <v>2040</v>
      </c>
      <c r="B1159" t="s">
        <v>547</v>
      </c>
      <c r="C1159">
        <v>544434</v>
      </c>
      <c r="D1159" t="s">
        <v>2437</v>
      </c>
      <c r="E1159" t="s">
        <v>2438</v>
      </c>
      <c r="F1159" t="s">
        <v>2439</v>
      </c>
      <c r="G1159" t="s">
        <v>2440</v>
      </c>
      <c r="H1159" t="s">
        <v>66</v>
      </c>
      <c r="I1159" t="s">
        <v>1947</v>
      </c>
      <c r="J1159" t="s">
        <v>615</v>
      </c>
      <c r="K1159" t="s">
        <v>55</v>
      </c>
      <c r="L1159" t="s">
        <v>55</v>
      </c>
      <c r="M1159" t="s">
        <v>2045</v>
      </c>
    </row>
    <row r="1160" spans="1:13" ht="15" customHeight="1" x14ac:dyDescent="0.25">
      <c r="A1160" t="s">
        <v>2040</v>
      </c>
      <c r="B1160" t="s">
        <v>547</v>
      </c>
      <c r="C1160">
        <v>544631</v>
      </c>
      <c r="D1160" t="s">
        <v>2441</v>
      </c>
      <c r="E1160" t="s">
        <v>2442</v>
      </c>
      <c r="F1160" t="s">
        <v>2443</v>
      </c>
      <c r="G1160" t="s">
        <v>2444</v>
      </c>
      <c r="H1160" t="s">
        <v>2074</v>
      </c>
      <c r="I1160" t="s">
        <v>2074</v>
      </c>
      <c r="J1160" t="s">
        <v>797</v>
      </c>
      <c r="K1160" t="s">
        <v>55</v>
      </c>
      <c r="L1160" t="s">
        <v>55</v>
      </c>
      <c r="M1160" t="s">
        <v>2050</v>
      </c>
    </row>
    <row r="1161" spans="1:13" ht="15" customHeight="1" x14ac:dyDescent="0.25">
      <c r="A1161" t="s">
        <v>2040</v>
      </c>
      <c r="B1161" t="s">
        <v>547</v>
      </c>
      <c r="C1161">
        <v>544588</v>
      </c>
      <c r="D1161" t="s">
        <v>2445</v>
      </c>
      <c r="E1161" t="s">
        <v>2446</v>
      </c>
      <c r="F1161" t="s">
        <v>2447</v>
      </c>
      <c r="G1161" t="s">
        <v>2448</v>
      </c>
      <c r="H1161" t="s">
        <v>66</v>
      </c>
      <c r="I1161" t="s">
        <v>66</v>
      </c>
      <c r="J1161" t="s">
        <v>596</v>
      </c>
      <c r="K1161" t="s">
        <v>55</v>
      </c>
      <c r="L1161" t="s">
        <v>55</v>
      </c>
      <c r="M1161" t="s">
        <v>2111</v>
      </c>
    </row>
    <row r="1162" spans="1:13" ht="15" customHeight="1" x14ac:dyDescent="0.25">
      <c r="A1162" t="s">
        <v>2040</v>
      </c>
      <c r="B1162" t="s">
        <v>547</v>
      </c>
      <c r="C1162">
        <v>544238</v>
      </c>
      <c r="D1162" t="s">
        <v>2449</v>
      </c>
      <c r="E1162" t="s">
        <v>2450</v>
      </c>
      <c r="F1162" t="s">
        <v>2451</v>
      </c>
      <c r="G1162" t="s">
        <v>2452</v>
      </c>
      <c r="H1162" t="s">
        <v>64</v>
      </c>
      <c r="I1162" t="s">
        <v>64</v>
      </c>
      <c r="J1162" t="s">
        <v>927</v>
      </c>
      <c r="K1162" t="s">
        <v>55</v>
      </c>
      <c r="L1162" t="s">
        <v>55</v>
      </c>
      <c r="M1162" t="s">
        <v>2111</v>
      </c>
    </row>
    <row r="1163" spans="1:13" ht="15" customHeight="1" x14ac:dyDescent="0.25">
      <c r="A1163" t="s">
        <v>2040</v>
      </c>
      <c r="B1163" t="s">
        <v>547</v>
      </c>
      <c r="C1163">
        <v>544239</v>
      </c>
      <c r="D1163" t="s">
        <v>2449</v>
      </c>
      <c r="E1163" t="s">
        <v>2253</v>
      </c>
      <c r="F1163" t="s">
        <v>2453</v>
      </c>
      <c r="G1163" t="s">
        <v>2454</v>
      </c>
      <c r="H1163" t="s">
        <v>64</v>
      </c>
      <c r="I1163" t="s">
        <v>64</v>
      </c>
      <c r="J1163" t="s">
        <v>689</v>
      </c>
      <c r="K1163" t="s">
        <v>55</v>
      </c>
      <c r="L1163" t="s">
        <v>55</v>
      </c>
      <c r="M1163" t="s">
        <v>2075</v>
      </c>
    </row>
    <row r="1164" spans="1:13" ht="15" customHeight="1" x14ac:dyDescent="0.25">
      <c r="A1164" t="s">
        <v>2040</v>
      </c>
      <c r="B1164" t="s">
        <v>547</v>
      </c>
      <c r="C1164">
        <v>544368</v>
      </c>
      <c r="D1164" t="s">
        <v>2455</v>
      </c>
      <c r="E1164" t="s">
        <v>1529</v>
      </c>
      <c r="F1164" t="s">
        <v>2456</v>
      </c>
      <c r="G1164" t="s">
        <v>2457</v>
      </c>
      <c r="H1164" t="s">
        <v>62</v>
      </c>
      <c r="I1164" t="s">
        <v>62</v>
      </c>
      <c r="J1164" t="s">
        <v>615</v>
      </c>
      <c r="K1164" t="s">
        <v>55</v>
      </c>
      <c r="L1164" t="s">
        <v>55</v>
      </c>
      <c r="M1164" t="s">
        <v>2055</v>
      </c>
    </row>
    <row r="1165" spans="1:13" ht="15" customHeight="1" x14ac:dyDescent="0.25">
      <c r="A1165" t="s">
        <v>2040</v>
      </c>
      <c r="B1165" t="s">
        <v>547</v>
      </c>
      <c r="C1165">
        <v>545173</v>
      </c>
      <c r="D1165" t="s">
        <v>2458</v>
      </c>
      <c r="E1165" t="s">
        <v>2459</v>
      </c>
      <c r="F1165" t="s">
        <v>2460</v>
      </c>
      <c r="G1165" t="s">
        <v>2461</v>
      </c>
      <c r="H1165" t="s">
        <v>61</v>
      </c>
      <c r="I1165" t="s">
        <v>61</v>
      </c>
      <c r="J1165" t="s">
        <v>615</v>
      </c>
      <c r="K1165" t="s">
        <v>55</v>
      </c>
      <c r="L1165" t="s">
        <v>55</v>
      </c>
      <c r="M1165" t="s">
        <v>2084</v>
      </c>
    </row>
    <row r="1166" spans="1:13" ht="15" customHeight="1" x14ac:dyDescent="0.25">
      <c r="A1166" t="s">
        <v>2040</v>
      </c>
      <c r="B1166" t="s">
        <v>547</v>
      </c>
      <c r="C1166">
        <v>545174</v>
      </c>
      <c r="D1166" t="s">
        <v>2458</v>
      </c>
      <c r="E1166" t="s">
        <v>1396</v>
      </c>
      <c r="F1166" t="s">
        <v>2462</v>
      </c>
      <c r="G1166" t="s">
        <v>2463</v>
      </c>
      <c r="H1166" t="s">
        <v>61</v>
      </c>
      <c r="I1166" t="s">
        <v>1319</v>
      </c>
      <c r="J1166" t="s">
        <v>615</v>
      </c>
      <c r="K1166" t="s">
        <v>55</v>
      </c>
      <c r="L1166" t="s">
        <v>55</v>
      </c>
      <c r="M1166" t="s">
        <v>2055</v>
      </c>
    </row>
    <row r="1167" spans="1:13" ht="15" customHeight="1" x14ac:dyDescent="0.25">
      <c r="A1167" t="s">
        <v>2040</v>
      </c>
      <c r="B1167" t="s">
        <v>547</v>
      </c>
      <c r="C1167">
        <v>544429</v>
      </c>
      <c r="D1167" t="s">
        <v>2464</v>
      </c>
      <c r="E1167" t="s">
        <v>2465</v>
      </c>
      <c r="F1167" t="s">
        <v>2466</v>
      </c>
      <c r="G1167" t="s">
        <v>2467</v>
      </c>
      <c r="H1167" t="s">
        <v>66</v>
      </c>
      <c r="I1167" t="s">
        <v>66</v>
      </c>
      <c r="J1167" t="s">
        <v>615</v>
      </c>
      <c r="K1167" t="s">
        <v>55</v>
      </c>
      <c r="L1167" t="s">
        <v>55</v>
      </c>
      <c r="M1167" t="s">
        <v>2056</v>
      </c>
    </row>
    <row r="1168" spans="1:13" ht="15" customHeight="1" x14ac:dyDescent="0.25">
      <c r="A1168" t="s">
        <v>2040</v>
      </c>
      <c r="B1168" t="s">
        <v>547</v>
      </c>
      <c r="C1168">
        <v>544968</v>
      </c>
      <c r="D1168" t="s">
        <v>2468</v>
      </c>
      <c r="E1168" t="s">
        <v>2469</v>
      </c>
      <c r="F1168" t="s">
        <v>2470</v>
      </c>
      <c r="G1168" t="s">
        <v>2471</v>
      </c>
      <c r="H1168" t="s">
        <v>66</v>
      </c>
      <c r="I1168" t="s">
        <v>66</v>
      </c>
      <c r="J1168" t="s">
        <v>1844</v>
      </c>
      <c r="K1168" t="s">
        <v>55</v>
      </c>
      <c r="L1168" t="s">
        <v>55</v>
      </c>
      <c r="M1168" t="s">
        <v>2050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3"/>
  <sheetViews>
    <sheetView zoomScaleNormal="100" workbookViewId="0"/>
  </sheetViews>
  <sheetFormatPr defaultRowHeight="15" x14ac:dyDescent="0.25"/>
  <sheetData>
    <row r="1" spans="1:11" x14ac:dyDescent="0.25">
      <c r="A1" t="s">
        <v>164</v>
      </c>
      <c r="B1" t="s">
        <v>166</v>
      </c>
      <c r="C1" t="s">
        <v>2472</v>
      </c>
      <c r="D1" t="s">
        <v>2473</v>
      </c>
      <c r="E1" t="s">
        <v>2474</v>
      </c>
      <c r="F1" t="s">
        <v>2475</v>
      </c>
      <c r="G1" t="s">
        <v>2476</v>
      </c>
      <c r="H1" t="s">
        <v>2477</v>
      </c>
      <c r="I1" t="s">
        <v>2478</v>
      </c>
      <c r="J1" t="s">
        <v>2479</v>
      </c>
      <c r="K1" t="s">
        <v>2480</v>
      </c>
    </row>
    <row r="2" spans="1:11" x14ac:dyDescent="0.25">
      <c r="A2" t="s">
        <v>2481</v>
      </c>
      <c r="B2" t="s">
        <v>368</v>
      </c>
      <c r="C2">
        <v>71274</v>
      </c>
      <c r="D2" t="s">
        <v>2482</v>
      </c>
      <c r="E2">
        <v>103059</v>
      </c>
      <c r="F2" t="s">
        <v>2483</v>
      </c>
      <c r="G2" t="s">
        <v>2484</v>
      </c>
      <c r="H2">
        <v>1</v>
      </c>
      <c r="I2">
        <v>1</v>
      </c>
      <c r="J2">
        <v>51</v>
      </c>
      <c r="K2">
        <v>1</v>
      </c>
    </row>
    <row r="3" spans="1:11" x14ac:dyDescent="0.25">
      <c r="A3" t="s">
        <v>2481</v>
      </c>
      <c r="B3" t="s">
        <v>368</v>
      </c>
      <c r="C3">
        <v>71274</v>
      </c>
      <c r="D3" t="s">
        <v>2482</v>
      </c>
      <c r="E3">
        <v>103059</v>
      </c>
      <c r="F3" t="s">
        <v>2483</v>
      </c>
      <c r="G3" t="s">
        <v>2485</v>
      </c>
      <c r="H3">
        <v>3</v>
      </c>
      <c r="I3">
        <v>3</v>
      </c>
      <c r="J3">
        <v>51</v>
      </c>
      <c r="K3">
        <v>1</v>
      </c>
    </row>
    <row r="4" spans="1:11" x14ac:dyDescent="0.25">
      <c r="A4" t="s">
        <v>2481</v>
      </c>
      <c r="B4" t="s">
        <v>368</v>
      </c>
      <c r="C4">
        <v>71274</v>
      </c>
      <c r="D4" t="s">
        <v>2482</v>
      </c>
      <c r="E4">
        <v>103059</v>
      </c>
      <c r="F4" t="s">
        <v>2483</v>
      </c>
      <c r="G4" t="s">
        <v>2486</v>
      </c>
      <c r="H4">
        <v>2</v>
      </c>
      <c r="I4">
        <v>4</v>
      </c>
      <c r="J4">
        <v>51</v>
      </c>
      <c r="K4">
        <v>1</v>
      </c>
    </row>
    <row r="5" spans="1:11" x14ac:dyDescent="0.25">
      <c r="A5" t="s">
        <v>2487</v>
      </c>
      <c r="B5" t="s">
        <v>368</v>
      </c>
      <c r="C5">
        <v>71274</v>
      </c>
      <c r="D5" t="s">
        <v>2482</v>
      </c>
      <c r="E5">
        <v>103059</v>
      </c>
      <c r="F5" t="s">
        <v>2483</v>
      </c>
      <c r="G5" t="s">
        <v>2484</v>
      </c>
      <c r="H5">
        <v>1</v>
      </c>
      <c r="I5">
        <v>1</v>
      </c>
      <c r="J5">
        <v>51</v>
      </c>
      <c r="K5">
        <v>1</v>
      </c>
    </row>
    <row r="6" spans="1:11" x14ac:dyDescent="0.25">
      <c r="A6" t="s">
        <v>2487</v>
      </c>
      <c r="B6" t="s">
        <v>368</v>
      </c>
      <c r="C6">
        <v>71274</v>
      </c>
      <c r="D6" t="s">
        <v>2482</v>
      </c>
      <c r="E6">
        <v>103059</v>
      </c>
      <c r="F6" t="s">
        <v>2483</v>
      </c>
      <c r="G6" t="s">
        <v>2485</v>
      </c>
      <c r="H6">
        <v>3</v>
      </c>
      <c r="I6">
        <v>3</v>
      </c>
      <c r="J6">
        <v>51</v>
      </c>
      <c r="K6">
        <v>1</v>
      </c>
    </row>
    <row r="7" spans="1:11" x14ac:dyDescent="0.25">
      <c r="A7" t="s">
        <v>2487</v>
      </c>
      <c r="B7" t="s">
        <v>368</v>
      </c>
      <c r="C7">
        <v>71274</v>
      </c>
      <c r="D7" t="s">
        <v>2482</v>
      </c>
      <c r="E7">
        <v>103059</v>
      </c>
      <c r="F7" t="s">
        <v>2483</v>
      </c>
      <c r="G7" t="s">
        <v>2486</v>
      </c>
      <c r="H7">
        <v>2</v>
      </c>
      <c r="I7">
        <v>4</v>
      </c>
      <c r="J7">
        <v>51</v>
      </c>
      <c r="K7">
        <v>1</v>
      </c>
    </row>
    <row r="8" spans="1:11" x14ac:dyDescent="0.25">
      <c r="A8" t="s">
        <v>2488</v>
      </c>
      <c r="B8" t="s">
        <v>368</v>
      </c>
      <c r="C8">
        <v>71274</v>
      </c>
      <c r="D8" t="s">
        <v>2482</v>
      </c>
      <c r="E8">
        <v>103059</v>
      </c>
      <c r="F8" t="s">
        <v>2483</v>
      </c>
      <c r="G8" t="s">
        <v>2484</v>
      </c>
      <c r="H8">
        <v>1</v>
      </c>
      <c r="I8">
        <v>1</v>
      </c>
      <c r="J8">
        <v>51</v>
      </c>
      <c r="K8">
        <v>1</v>
      </c>
    </row>
    <row r="9" spans="1:11" x14ac:dyDescent="0.25">
      <c r="A9" t="s">
        <v>2488</v>
      </c>
      <c r="B9" t="s">
        <v>368</v>
      </c>
      <c r="C9">
        <v>71274</v>
      </c>
      <c r="D9" t="s">
        <v>2482</v>
      </c>
      <c r="E9">
        <v>103059</v>
      </c>
      <c r="F9" t="s">
        <v>2483</v>
      </c>
      <c r="G9" t="s">
        <v>2485</v>
      </c>
      <c r="H9">
        <v>3</v>
      </c>
      <c r="I9">
        <v>3</v>
      </c>
      <c r="J9">
        <v>51</v>
      </c>
      <c r="K9">
        <v>1</v>
      </c>
    </row>
    <row r="10" spans="1:11" x14ac:dyDescent="0.25">
      <c r="A10" t="s">
        <v>2488</v>
      </c>
      <c r="B10" t="s">
        <v>368</v>
      </c>
      <c r="C10">
        <v>71274</v>
      </c>
      <c r="D10" t="s">
        <v>2482</v>
      </c>
      <c r="E10">
        <v>103059</v>
      </c>
      <c r="F10" t="s">
        <v>2483</v>
      </c>
      <c r="G10" t="s">
        <v>2486</v>
      </c>
      <c r="H10">
        <v>2</v>
      </c>
      <c r="I10">
        <v>4</v>
      </c>
      <c r="J10">
        <v>51</v>
      </c>
      <c r="K10">
        <v>1</v>
      </c>
    </row>
    <row r="11" spans="1:11" x14ac:dyDescent="0.25">
      <c r="A11" t="s">
        <v>2489</v>
      </c>
      <c r="B11" t="s">
        <v>368</v>
      </c>
      <c r="C11">
        <v>71274</v>
      </c>
      <c r="D11" t="s">
        <v>2482</v>
      </c>
      <c r="E11">
        <v>103059</v>
      </c>
      <c r="F11" t="s">
        <v>2483</v>
      </c>
      <c r="G11" t="s">
        <v>2484</v>
      </c>
      <c r="H11">
        <v>1</v>
      </c>
      <c r="I11">
        <v>1</v>
      </c>
      <c r="J11">
        <v>51</v>
      </c>
      <c r="K11">
        <v>1</v>
      </c>
    </row>
    <row r="12" spans="1:11" x14ac:dyDescent="0.25">
      <c r="A12" t="s">
        <v>2489</v>
      </c>
      <c r="B12" t="s">
        <v>368</v>
      </c>
      <c r="C12">
        <v>71274</v>
      </c>
      <c r="D12" t="s">
        <v>2482</v>
      </c>
      <c r="E12">
        <v>103059</v>
      </c>
      <c r="F12" t="s">
        <v>2483</v>
      </c>
      <c r="G12" t="s">
        <v>2485</v>
      </c>
      <c r="H12">
        <v>3</v>
      </c>
      <c r="I12">
        <v>3</v>
      </c>
      <c r="J12">
        <v>51</v>
      </c>
      <c r="K12">
        <v>1</v>
      </c>
    </row>
    <row r="13" spans="1:11" x14ac:dyDescent="0.25">
      <c r="A13" t="s">
        <v>2489</v>
      </c>
      <c r="B13" t="s">
        <v>368</v>
      </c>
      <c r="C13">
        <v>71274</v>
      </c>
      <c r="D13" t="s">
        <v>2482</v>
      </c>
      <c r="E13">
        <v>103059</v>
      </c>
      <c r="F13" t="s">
        <v>2483</v>
      </c>
      <c r="G13" t="s">
        <v>2486</v>
      </c>
      <c r="H13">
        <v>2</v>
      </c>
      <c r="I13">
        <v>4</v>
      </c>
      <c r="J13">
        <v>51</v>
      </c>
      <c r="K13">
        <v>1</v>
      </c>
    </row>
    <row r="14" spans="1:11" x14ac:dyDescent="0.25">
      <c r="A14" t="s">
        <v>2490</v>
      </c>
      <c r="B14" t="s">
        <v>524</v>
      </c>
      <c r="C14">
        <v>71195</v>
      </c>
      <c r="D14" t="s">
        <v>2491</v>
      </c>
      <c r="E14">
        <v>103440</v>
      </c>
      <c r="F14" t="s">
        <v>2492</v>
      </c>
      <c r="G14" t="s">
        <v>2486</v>
      </c>
      <c r="H14">
        <v>2</v>
      </c>
      <c r="I14">
        <v>4</v>
      </c>
      <c r="J14">
        <v>56</v>
      </c>
      <c r="K14">
        <v>0</v>
      </c>
    </row>
    <row r="15" spans="1:11" x14ac:dyDescent="0.25">
      <c r="A15" t="s">
        <v>2490</v>
      </c>
      <c r="B15" t="s">
        <v>524</v>
      </c>
      <c r="C15">
        <v>71195</v>
      </c>
      <c r="D15" t="s">
        <v>2491</v>
      </c>
      <c r="E15">
        <v>103440</v>
      </c>
      <c r="F15" t="s">
        <v>2492</v>
      </c>
      <c r="G15" t="s">
        <v>2484</v>
      </c>
      <c r="H15">
        <v>1</v>
      </c>
      <c r="I15">
        <v>1</v>
      </c>
      <c r="J15">
        <v>56</v>
      </c>
      <c r="K15">
        <v>0</v>
      </c>
    </row>
    <row r="16" spans="1:11" x14ac:dyDescent="0.25">
      <c r="A16" t="s">
        <v>2493</v>
      </c>
      <c r="B16" t="s">
        <v>524</v>
      </c>
      <c r="C16">
        <v>71195</v>
      </c>
      <c r="D16" t="s">
        <v>2491</v>
      </c>
      <c r="E16">
        <v>103440</v>
      </c>
      <c r="F16" t="s">
        <v>2492</v>
      </c>
      <c r="G16" t="s">
        <v>2484</v>
      </c>
      <c r="H16">
        <v>1</v>
      </c>
      <c r="I16">
        <v>1</v>
      </c>
      <c r="J16">
        <v>56</v>
      </c>
      <c r="K16">
        <v>0</v>
      </c>
    </row>
    <row r="17" spans="1:11" x14ac:dyDescent="0.25">
      <c r="A17" t="s">
        <v>2493</v>
      </c>
      <c r="B17" t="s">
        <v>524</v>
      </c>
      <c r="C17">
        <v>71195</v>
      </c>
      <c r="D17" t="s">
        <v>2491</v>
      </c>
      <c r="E17">
        <v>103440</v>
      </c>
      <c r="F17" t="s">
        <v>2492</v>
      </c>
      <c r="G17" t="s">
        <v>2486</v>
      </c>
      <c r="H17">
        <v>2</v>
      </c>
      <c r="I17">
        <v>4</v>
      </c>
      <c r="J17">
        <v>56</v>
      </c>
      <c r="K17">
        <v>0</v>
      </c>
    </row>
    <row r="18" spans="1:11" x14ac:dyDescent="0.25">
      <c r="A18" t="s">
        <v>2493</v>
      </c>
      <c r="B18" t="s">
        <v>524</v>
      </c>
      <c r="C18">
        <v>71195</v>
      </c>
      <c r="D18" t="s">
        <v>2482</v>
      </c>
      <c r="E18">
        <v>103441</v>
      </c>
      <c r="F18" t="s">
        <v>2494</v>
      </c>
      <c r="G18" t="s">
        <v>2486</v>
      </c>
      <c r="H18">
        <v>2</v>
      </c>
      <c r="I18">
        <v>4</v>
      </c>
      <c r="J18">
        <v>55</v>
      </c>
      <c r="K18">
        <v>0</v>
      </c>
    </row>
    <row r="19" spans="1:11" x14ac:dyDescent="0.25">
      <c r="A19" t="s">
        <v>2493</v>
      </c>
      <c r="B19" t="s">
        <v>524</v>
      </c>
      <c r="C19">
        <v>71195</v>
      </c>
      <c r="D19" t="s">
        <v>2482</v>
      </c>
      <c r="E19">
        <v>103441</v>
      </c>
      <c r="F19" t="s">
        <v>2494</v>
      </c>
      <c r="G19" t="s">
        <v>2484</v>
      </c>
      <c r="H19">
        <v>1</v>
      </c>
      <c r="I19">
        <v>1</v>
      </c>
      <c r="J19">
        <v>55</v>
      </c>
      <c r="K19">
        <v>0</v>
      </c>
    </row>
    <row r="20" spans="1:11" x14ac:dyDescent="0.25">
      <c r="A20" t="s">
        <v>2495</v>
      </c>
      <c r="B20" t="s">
        <v>524</v>
      </c>
      <c r="C20">
        <v>71195</v>
      </c>
      <c r="D20" t="s">
        <v>2491</v>
      </c>
      <c r="E20">
        <v>103440</v>
      </c>
      <c r="F20" t="s">
        <v>2492</v>
      </c>
      <c r="G20" t="s">
        <v>2484</v>
      </c>
      <c r="H20">
        <v>1</v>
      </c>
      <c r="I20">
        <v>1</v>
      </c>
      <c r="J20">
        <v>56</v>
      </c>
      <c r="K20">
        <v>0</v>
      </c>
    </row>
    <row r="21" spans="1:11" x14ac:dyDescent="0.25">
      <c r="A21" t="s">
        <v>2495</v>
      </c>
      <c r="B21" t="s">
        <v>524</v>
      </c>
      <c r="C21">
        <v>71195</v>
      </c>
      <c r="D21" t="s">
        <v>2491</v>
      </c>
      <c r="E21">
        <v>103440</v>
      </c>
      <c r="F21" t="s">
        <v>2492</v>
      </c>
      <c r="G21" t="s">
        <v>2486</v>
      </c>
      <c r="H21">
        <v>2</v>
      </c>
      <c r="I21">
        <v>4</v>
      </c>
      <c r="J21">
        <v>56</v>
      </c>
      <c r="K21">
        <v>0</v>
      </c>
    </row>
    <row r="22" spans="1:11" x14ac:dyDescent="0.25">
      <c r="A22" t="s">
        <v>2495</v>
      </c>
      <c r="B22" t="s">
        <v>524</v>
      </c>
      <c r="C22">
        <v>71195</v>
      </c>
      <c r="D22" t="s">
        <v>2482</v>
      </c>
      <c r="E22">
        <v>103441</v>
      </c>
      <c r="F22" t="s">
        <v>2494</v>
      </c>
      <c r="G22" t="s">
        <v>2486</v>
      </c>
      <c r="H22">
        <v>2</v>
      </c>
      <c r="I22">
        <v>4</v>
      </c>
      <c r="J22">
        <v>55</v>
      </c>
      <c r="K22">
        <v>0</v>
      </c>
    </row>
    <row r="23" spans="1:11" x14ac:dyDescent="0.25">
      <c r="A23" t="s">
        <v>2495</v>
      </c>
      <c r="B23" t="s">
        <v>524</v>
      </c>
      <c r="C23">
        <v>71195</v>
      </c>
      <c r="D23" t="s">
        <v>2482</v>
      </c>
      <c r="E23">
        <v>103441</v>
      </c>
      <c r="F23" t="s">
        <v>2494</v>
      </c>
      <c r="G23" t="s">
        <v>2484</v>
      </c>
      <c r="H23">
        <v>1</v>
      </c>
      <c r="I23">
        <v>1</v>
      </c>
      <c r="J23">
        <v>55</v>
      </c>
      <c r="K23">
        <v>0</v>
      </c>
    </row>
    <row r="24" spans="1:11" x14ac:dyDescent="0.25">
      <c r="A24" t="s">
        <v>2495</v>
      </c>
      <c r="B24" t="s">
        <v>524</v>
      </c>
      <c r="C24">
        <v>71195</v>
      </c>
      <c r="D24" t="s">
        <v>2496</v>
      </c>
      <c r="E24">
        <v>103442</v>
      </c>
      <c r="F24" t="s">
        <v>2494</v>
      </c>
      <c r="G24" t="s">
        <v>2486</v>
      </c>
      <c r="H24">
        <v>2</v>
      </c>
      <c r="I24">
        <v>4</v>
      </c>
      <c r="J24">
        <v>55</v>
      </c>
      <c r="K24">
        <v>0</v>
      </c>
    </row>
    <row r="25" spans="1:11" x14ac:dyDescent="0.25">
      <c r="A25" t="s">
        <v>2495</v>
      </c>
      <c r="B25" t="s">
        <v>524</v>
      </c>
      <c r="C25">
        <v>71195</v>
      </c>
      <c r="D25" t="s">
        <v>2496</v>
      </c>
      <c r="E25">
        <v>103442</v>
      </c>
      <c r="F25" t="s">
        <v>2494</v>
      </c>
      <c r="G25" t="s">
        <v>2484</v>
      </c>
      <c r="H25">
        <v>1</v>
      </c>
      <c r="I25">
        <v>1</v>
      </c>
      <c r="J25">
        <v>55</v>
      </c>
      <c r="K25">
        <v>0</v>
      </c>
    </row>
    <row r="26" spans="1:11" x14ac:dyDescent="0.25">
      <c r="A26" t="s">
        <v>2497</v>
      </c>
      <c r="B26" t="s">
        <v>524</v>
      </c>
      <c r="C26">
        <v>71195</v>
      </c>
      <c r="D26" t="s">
        <v>2491</v>
      </c>
      <c r="E26">
        <v>103440</v>
      </c>
      <c r="F26" t="s">
        <v>2492</v>
      </c>
      <c r="G26" t="s">
        <v>2484</v>
      </c>
      <c r="H26">
        <v>1</v>
      </c>
      <c r="I26">
        <v>1</v>
      </c>
      <c r="J26">
        <v>56</v>
      </c>
      <c r="K26">
        <v>0</v>
      </c>
    </row>
    <row r="27" spans="1:11" x14ac:dyDescent="0.25">
      <c r="A27" t="s">
        <v>2497</v>
      </c>
      <c r="B27" t="s">
        <v>524</v>
      </c>
      <c r="C27">
        <v>71195</v>
      </c>
      <c r="D27" t="s">
        <v>2491</v>
      </c>
      <c r="E27">
        <v>103440</v>
      </c>
      <c r="F27" t="s">
        <v>2492</v>
      </c>
      <c r="G27" t="s">
        <v>2486</v>
      </c>
      <c r="H27">
        <v>2</v>
      </c>
      <c r="I27">
        <v>4</v>
      </c>
      <c r="J27">
        <v>56</v>
      </c>
      <c r="K27">
        <v>0</v>
      </c>
    </row>
    <row r="28" spans="1:11" x14ac:dyDescent="0.25">
      <c r="A28" t="s">
        <v>2497</v>
      </c>
      <c r="B28" t="s">
        <v>524</v>
      </c>
      <c r="C28">
        <v>71195</v>
      </c>
      <c r="D28" t="s">
        <v>2482</v>
      </c>
      <c r="E28">
        <v>103441</v>
      </c>
      <c r="F28" t="s">
        <v>2494</v>
      </c>
      <c r="G28" t="s">
        <v>2486</v>
      </c>
      <c r="H28">
        <v>2</v>
      </c>
      <c r="I28">
        <v>4</v>
      </c>
      <c r="J28">
        <v>55</v>
      </c>
      <c r="K28">
        <v>0</v>
      </c>
    </row>
    <row r="29" spans="1:11" x14ac:dyDescent="0.25">
      <c r="A29" t="s">
        <v>2497</v>
      </c>
      <c r="B29" t="s">
        <v>524</v>
      </c>
      <c r="C29">
        <v>71195</v>
      </c>
      <c r="D29" t="s">
        <v>2482</v>
      </c>
      <c r="E29">
        <v>103441</v>
      </c>
      <c r="F29" t="s">
        <v>2494</v>
      </c>
      <c r="G29" t="s">
        <v>2484</v>
      </c>
      <c r="H29">
        <v>1</v>
      </c>
      <c r="I29">
        <v>1</v>
      </c>
      <c r="J29">
        <v>55</v>
      </c>
      <c r="K29">
        <v>0</v>
      </c>
    </row>
    <row r="30" spans="1:11" x14ac:dyDescent="0.25">
      <c r="A30" t="s">
        <v>2497</v>
      </c>
      <c r="B30" t="s">
        <v>524</v>
      </c>
      <c r="C30">
        <v>71195</v>
      </c>
      <c r="D30" t="s">
        <v>2496</v>
      </c>
      <c r="E30">
        <v>103442</v>
      </c>
      <c r="F30" t="s">
        <v>2494</v>
      </c>
      <c r="G30" t="s">
        <v>2484</v>
      </c>
      <c r="H30">
        <v>1</v>
      </c>
      <c r="I30">
        <v>1</v>
      </c>
      <c r="J30">
        <v>55</v>
      </c>
      <c r="K30">
        <v>0</v>
      </c>
    </row>
    <row r="31" spans="1:11" x14ac:dyDescent="0.25">
      <c r="A31" t="s">
        <v>2497</v>
      </c>
      <c r="B31" t="s">
        <v>524</v>
      </c>
      <c r="C31">
        <v>71195</v>
      </c>
      <c r="D31" t="s">
        <v>2496</v>
      </c>
      <c r="E31">
        <v>103442</v>
      </c>
      <c r="F31" t="s">
        <v>2494</v>
      </c>
      <c r="G31" t="s">
        <v>2486</v>
      </c>
      <c r="H31">
        <v>2</v>
      </c>
      <c r="I31">
        <v>4</v>
      </c>
      <c r="J31">
        <v>55</v>
      </c>
      <c r="K31">
        <v>0</v>
      </c>
    </row>
    <row r="32" spans="1:11" x14ac:dyDescent="0.25">
      <c r="A32" t="s">
        <v>2497</v>
      </c>
      <c r="B32" t="s">
        <v>524</v>
      </c>
      <c r="C32">
        <v>71195</v>
      </c>
      <c r="D32" t="s">
        <v>2498</v>
      </c>
      <c r="E32">
        <v>103460</v>
      </c>
      <c r="F32" t="s">
        <v>2499</v>
      </c>
      <c r="G32" t="s">
        <v>2486</v>
      </c>
      <c r="H32">
        <v>2</v>
      </c>
      <c r="I32">
        <v>4</v>
      </c>
      <c r="J32">
        <v>52</v>
      </c>
      <c r="K32">
        <v>0</v>
      </c>
    </row>
    <row r="33" spans="1:11" x14ac:dyDescent="0.25">
      <c r="A33" t="s">
        <v>2497</v>
      </c>
      <c r="B33" t="s">
        <v>524</v>
      </c>
      <c r="C33">
        <v>71195</v>
      </c>
      <c r="D33" t="s">
        <v>2498</v>
      </c>
      <c r="E33">
        <v>103460</v>
      </c>
      <c r="F33" t="s">
        <v>2499</v>
      </c>
      <c r="G33" t="s">
        <v>2484</v>
      </c>
      <c r="H33">
        <v>1</v>
      </c>
      <c r="I33">
        <v>1</v>
      </c>
      <c r="J33">
        <v>52</v>
      </c>
      <c r="K33">
        <v>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Forkeppni</vt:lpstr>
      <vt:lpstr>ForkeppniSorted</vt:lpstr>
      <vt:lpstr>B-úrslit</vt:lpstr>
      <vt:lpstr>B-úrslitSorted</vt:lpstr>
      <vt:lpstr>A-úrslit</vt:lpstr>
      <vt:lpstr>A-úrslitSorted</vt:lpstr>
      <vt:lpstr>Webhooks</vt:lpstr>
      <vt:lpstr>C úrslit</vt:lpstr>
      <vt:lpstr>keppendalisti</vt:lpstr>
      <vt:lpstr>keppnisgreinar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2026-02-06T17:25:44Z</dcterms:created>
  <dcterms:modified xsi:type="dcterms:W3CDTF">2026-02-13T17:36:26Z</dcterms:modified>
  <cp:category/>
</cp:coreProperties>
</file>